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5F30AE48-9124-4801-B45B-62D2199026A2}" xr6:coauthVersionLast="40" xr6:coauthVersionMax="47" xr10:uidLastSave="{00000000-0000-0000-0000-000000000000}"/>
  <bookViews>
    <workbookView xWindow="0" yWindow="0" windowWidth="12326" windowHeight="2923" tabRatio="655" xr2:uid="{00000000-000D-0000-FFFF-FFFF00000000}"/>
  </bookViews>
  <sheets>
    <sheet name="DASHBOARD" sheetId="1" r:id="rId1"/>
    <sheet name="Pivot Report 2" sheetId="2" r:id="rId2"/>
    <sheet name="sale resgister" sheetId="3" r:id="rId3"/>
    <sheet name="P&amp;L REPORT 1" sheetId="4" r:id="rId4"/>
    <sheet name="P&amp;L REPORT 2" sheetId="5" r:id="rId5"/>
    <sheet name="P&amp;L REPORT 3" sheetId="6" r:id="rId6"/>
  </sheets>
  <definedNames>
    <definedName name="_xlnm._FilterDatabase" localSheetId="4" hidden="1">'P&amp;L REPORT 2'!$B$2:$S$617</definedName>
    <definedName name="_xlnm._FilterDatabase" localSheetId="5" hidden="1">'P&amp;L REPORT 3'!$B$2:$S$15</definedName>
    <definedName name="_xlnm.Print_Titles" localSheetId="0">DASHBOARD!$2:$2</definedName>
  </definedNames>
  <calcPr calcId="191029" iterateDelta="1E-4"/>
  <pivotCaches>
    <pivotCache cacheId="20" r:id="rId7"/>
  </pivotCaches>
  <extLst>
    <ext xmlns:loext="http://schemas.libreoffice.org/" uri="{7626C862-2A13-11E5-B345-FEFF819CDC9F}">
      <loext:extCalcPr stringRefSyntax="ExcelA1"/>
    </ext>
  </extLst>
</workbook>
</file>

<file path=xl/calcChain.xml><?xml version="1.0" encoding="utf-8"?>
<calcChain xmlns="http://schemas.openxmlformats.org/spreadsheetml/2006/main">
  <c r="F30" i="1" l="1"/>
  <c r="I30" i="1"/>
  <c r="H30" i="1"/>
  <c r="G30" i="1"/>
  <c r="E30" i="1"/>
  <c r="D30" i="1"/>
  <c r="J30" i="1"/>
  <c r="J15" i="1"/>
  <c r="J16" i="1"/>
  <c r="J17" i="1"/>
  <c r="J18" i="1"/>
  <c r="J19" i="1"/>
  <c r="J20" i="1"/>
  <c r="J21" i="1"/>
  <c r="J22" i="1"/>
  <c r="J23" i="1"/>
  <c r="J24" i="1"/>
  <c r="J25" i="1"/>
  <c r="J26" i="1"/>
  <c r="J27" i="1"/>
  <c r="J28" i="1"/>
  <c r="J29" i="1"/>
  <c r="J14" i="1"/>
  <c r="C58" i="2"/>
  <c r="C56" i="2"/>
  <c r="C57" i="2"/>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2" i="3"/>
  <c r="H8" i="1" l="1"/>
  <c r="H3" i="6"/>
  <c r="J8" i="1"/>
  <c r="B10" i="1"/>
  <c r="C55" i="2"/>
  <c r="H18" i="4"/>
  <c r="I18" i="4"/>
  <c r="J18" i="4"/>
  <c r="K18" i="4"/>
  <c r="L18" i="4"/>
  <c r="M18" i="4"/>
  <c r="O3" i="3"/>
  <c r="O4" i="3"/>
  <c r="O5" i="3"/>
  <c r="O6" i="3"/>
  <c r="O7" i="3"/>
  <c r="O8" i="3"/>
  <c r="O9" i="3"/>
  <c r="O10"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2" i="3"/>
  <c r="E3" i="6"/>
  <c r="I11" i="4"/>
  <c r="I7" i="4"/>
  <c r="I5" i="4"/>
  <c r="I3" i="4"/>
  <c r="I2" i="4"/>
  <c r="J77" i="1" l="1"/>
  <c r="H77" i="1"/>
  <c r="G77" i="1"/>
  <c r="F77" i="1"/>
  <c r="E77" i="1"/>
  <c r="D77" i="1"/>
  <c r="C77" i="1" s="1"/>
  <c r="J76" i="1"/>
  <c r="H76" i="1"/>
  <c r="G76" i="1"/>
  <c r="F76" i="1"/>
  <c r="E76" i="1"/>
  <c r="D76" i="1"/>
  <c r="C76" i="1" s="1"/>
  <c r="J75" i="1"/>
  <c r="H75" i="1"/>
  <c r="G75" i="1"/>
  <c r="F75" i="1"/>
  <c r="E75" i="1"/>
  <c r="D75" i="1"/>
  <c r="C75" i="1" s="1"/>
  <c r="J74" i="1"/>
  <c r="H74" i="1"/>
  <c r="G74" i="1"/>
  <c r="F74" i="1"/>
  <c r="E74" i="1"/>
  <c r="D74" i="1"/>
  <c r="C74" i="1" s="1"/>
  <c r="J73" i="1"/>
  <c r="H73" i="1"/>
  <c r="G73" i="1"/>
  <c r="F73" i="1"/>
  <c r="E73" i="1"/>
  <c r="D73" i="1"/>
  <c r="C73" i="1" s="1"/>
  <c r="J72" i="1"/>
  <c r="H72" i="1"/>
  <c r="G72" i="1"/>
  <c r="F72" i="1"/>
  <c r="E72" i="1"/>
  <c r="D72" i="1"/>
  <c r="C72" i="1" s="1"/>
  <c r="J71" i="1"/>
  <c r="H71" i="1"/>
  <c r="G71" i="1"/>
  <c r="F71" i="1"/>
  <c r="E71" i="1"/>
  <c r="D71" i="1"/>
  <c r="C71" i="1" s="1"/>
  <c r="J70" i="1"/>
  <c r="H70" i="1"/>
  <c r="G70" i="1"/>
  <c r="F70" i="1"/>
  <c r="E70" i="1"/>
  <c r="D70" i="1"/>
  <c r="C70" i="1" s="1"/>
  <c r="J69" i="1"/>
  <c r="H69" i="1"/>
  <c r="G69" i="1"/>
  <c r="F69" i="1"/>
  <c r="E69" i="1"/>
  <c r="D69" i="1"/>
  <c r="C69" i="1" s="1"/>
  <c r="J68" i="1"/>
  <c r="H68" i="1"/>
  <c r="G68" i="1"/>
  <c r="F68" i="1"/>
  <c r="E68" i="1"/>
  <c r="D68" i="1"/>
  <c r="C68" i="1" s="1"/>
  <c r="J67" i="1"/>
  <c r="H67" i="1"/>
  <c r="G67" i="1"/>
  <c r="F67" i="1"/>
  <c r="E67" i="1"/>
  <c r="D67" i="1"/>
  <c r="C67" i="1" s="1"/>
  <c r="J66" i="1"/>
  <c r="H66" i="1"/>
  <c r="G66" i="1"/>
  <c r="F66" i="1"/>
  <c r="E66" i="1"/>
  <c r="D66" i="1"/>
  <c r="C66" i="1" s="1"/>
  <c r="J65" i="1"/>
  <c r="H65" i="1"/>
  <c r="G65" i="1"/>
  <c r="F65" i="1"/>
  <c r="E65" i="1"/>
  <c r="D65" i="1"/>
  <c r="C65" i="1" s="1"/>
  <c r="J64" i="1"/>
  <c r="H64" i="1"/>
  <c r="G64" i="1"/>
  <c r="F64" i="1"/>
  <c r="E64" i="1"/>
  <c r="D64" i="1"/>
  <c r="C64" i="1" s="1"/>
  <c r="J63" i="1"/>
  <c r="H63" i="1"/>
  <c r="G63" i="1"/>
  <c r="F63" i="1"/>
  <c r="E63" i="1"/>
  <c r="D63" i="1"/>
  <c r="C63" i="1" s="1"/>
  <c r="J62" i="1"/>
  <c r="H62" i="1"/>
  <c r="G62" i="1"/>
  <c r="F62" i="1"/>
  <c r="E62" i="1"/>
  <c r="D62" i="1"/>
  <c r="C62" i="1" s="1"/>
  <c r="J61" i="1"/>
  <c r="H61" i="1"/>
  <c r="G61" i="1"/>
  <c r="F61" i="1"/>
  <c r="E61" i="1"/>
  <c r="D61" i="1"/>
  <c r="C61" i="1" s="1"/>
  <c r="J60" i="1"/>
  <c r="H60" i="1"/>
  <c r="G60" i="1"/>
  <c r="F60" i="1"/>
  <c r="E60" i="1"/>
  <c r="D60" i="1"/>
  <c r="C60" i="1" s="1"/>
  <c r="J59" i="1"/>
  <c r="H59" i="1"/>
  <c r="G59" i="1"/>
  <c r="F59" i="1"/>
  <c r="E59" i="1"/>
  <c r="D59" i="1"/>
  <c r="C59" i="1" s="1"/>
  <c r="J58" i="1"/>
  <c r="H58" i="1"/>
  <c r="G58" i="1"/>
  <c r="F58" i="1"/>
  <c r="E58" i="1"/>
  <c r="D58" i="1"/>
  <c r="C58" i="1" s="1"/>
  <c r="J57" i="1"/>
  <c r="H57" i="1"/>
  <c r="G57" i="1"/>
  <c r="F57" i="1"/>
  <c r="E57" i="1"/>
  <c r="D57" i="1"/>
  <c r="C57" i="1" s="1"/>
  <c r="J56" i="1"/>
  <c r="H56" i="1"/>
  <c r="G56" i="1"/>
  <c r="F56" i="1"/>
  <c r="E56" i="1"/>
  <c r="D56" i="1"/>
  <c r="C56" i="1" s="1"/>
  <c r="J55" i="1"/>
  <c r="H55" i="1"/>
  <c r="G55" i="1"/>
  <c r="F55" i="1"/>
  <c r="E55" i="1"/>
  <c r="D55" i="1"/>
  <c r="C55" i="1" s="1"/>
  <c r="J54" i="1"/>
  <c r="H54" i="1"/>
  <c r="G54" i="1"/>
  <c r="F54" i="1"/>
  <c r="E54" i="1"/>
  <c r="D54" i="1"/>
  <c r="C54" i="1" s="1"/>
  <c r="J53" i="1"/>
  <c r="H53" i="1"/>
  <c r="G53" i="1"/>
  <c r="F53" i="1"/>
  <c r="E53" i="1"/>
  <c r="D53" i="1"/>
  <c r="C53" i="1" s="1"/>
  <c r="J52" i="1"/>
  <c r="H52" i="1"/>
  <c r="G52" i="1"/>
  <c r="F52" i="1"/>
  <c r="E52" i="1"/>
  <c r="D52" i="1"/>
  <c r="C52" i="1" s="1"/>
  <c r="J51" i="1"/>
  <c r="H51" i="1"/>
  <c r="G51" i="1"/>
  <c r="F51" i="1"/>
  <c r="E51" i="1"/>
  <c r="D51" i="1"/>
  <c r="C51" i="1" s="1"/>
  <c r="J50" i="1"/>
  <c r="H50" i="1"/>
  <c r="G50" i="1"/>
  <c r="F50" i="1"/>
  <c r="E50" i="1"/>
  <c r="D50" i="1"/>
  <c r="C50" i="1" s="1"/>
  <c r="J49" i="1"/>
  <c r="H49" i="1"/>
  <c r="G49" i="1"/>
  <c r="F49" i="1"/>
  <c r="E49" i="1"/>
  <c r="D49" i="1"/>
  <c r="C49" i="1" s="1"/>
  <c r="J48" i="1"/>
  <c r="H48" i="1"/>
  <c r="G48" i="1"/>
  <c r="F48" i="1"/>
  <c r="E48" i="1"/>
  <c r="D48" i="1"/>
  <c r="C48" i="1" s="1"/>
  <c r="J47" i="1"/>
  <c r="H47" i="1"/>
  <c r="G47" i="1"/>
  <c r="F47" i="1"/>
  <c r="E47" i="1"/>
  <c r="D47" i="1"/>
  <c r="C47" i="1" s="1"/>
  <c r="J46" i="1"/>
  <c r="H46" i="1"/>
  <c r="G46" i="1"/>
  <c r="F46" i="1"/>
  <c r="E46" i="1"/>
  <c r="D46" i="1"/>
  <c r="C46" i="1" s="1"/>
  <c r="J45" i="1"/>
  <c r="H45" i="1"/>
  <c r="G45" i="1"/>
  <c r="F45" i="1"/>
  <c r="E45" i="1"/>
  <c r="D45" i="1"/>
  <c r="C45" i="1" s="1"/>
  <c r="J44" i="1"/>
  <c r="H44" i="1"/>
  <c r="G44" i="1"/>
  <c r="F44" i="1"/>
  <c r="E44" i="1"/>
  <c r="D44" i="1"/>
  <c r="C44" i="1" s="1"/>
  <c r="J43" i="1"/>
  <c r="H43" i="1"/>
  <c r="G43" i="1"/>
  <c r="F43" i="1"/>
  <c r="E43" i="1"/>
  <c r="D43" i="1"/>
  <c r="C43" i="1" s="1"/>
  <c r="J42" i="1"/>
  <c r="H42" i="1"/>
  <c r="G42" i="1"/>
  <c r="F42" i="1"/>
  <c r="E42" i="1"/>
  <c r="D42" i="1"/>
  <c r="C42" i="1" s="1"/>
  <c r="J41" i="1"/>
  <c r="H41" i="1"/>
  <c r="G41" i="1"/>
  <c r="F41" i="1"/>
  <c r="E41" i="1"/>
  <c r="D41" i="1"/>
  <c r="C41" i="1" s="1"/>
  <c r="J40" i="1"/>
  <c r="H40" i="1"/>
  <c r="G40" i="1"/>
  <c r="F40" i="1"/>
  <c r="E40" i="1"/>
  <c r="D40" i="1"/>
  <c r="C40" i="1" s="1"/>
  <c r="J39" i="1"/>
  <c r="H39" i="1"/>
  <c r="G39" i="1"/>
  <c r="F39" i="1"/>
  <c r="E39" i="1"/>
  <c r="D39" i="1"/>
  <c r="C39" i="1" s="1"/>
  <c r="J38" i="1"/>
  <c r="H38" i="1"/>
  <c r="G38" i="1"/>
  <c r="F38" i="1"/>
  <c r="E38" i="1"/>
  <c r="D38" i="1"/>
  <c r="C38" i="1" s="1"/>
  <c r="J37" i="1"/>
  <c r="H37" i="1"/>
  <c r="G37" i="1"/>
  <c r="F37" i="1"/>
  <c r="E37" i="1"/>
  <c r="D37" i="1"/>
  <c r="C37" i="1" s="1"/>
  <c r="J36" i="1"/>
  <c r="H36" i="1"/>
  <c r="G36" i="1"/>
  <c r="F36" i="1"/>
  <c r="E36" i="1"/>
  <c r="D36" i="1"/>
  <c r="C36" i="1" s="1"/>
  <c r="J35" i="1"/>
  <c r="H35" i="1"/>
  <c r="G35" i="1"/>
  <c r="F35" i="1"/>
  <c r="E35" i="1"/>
  <c r="D35" i="1"/>
  <c r="C35" i="1" s="1"/>
  <c r="E34" i="1"/>
  <c r="D34" i="1"/>
  <c r="C34" i="1" s="1"/>
  <c r="J34" i="1"/>
  <c r="H34" i="1"/>
  <c r="G34" i="1"/>
  <c r="F34" i="1"/>
  <c r="B8" i="1"/>
  <c r="F3" i="6"/>
  <c r="F4" i="6" s="1"/>
  <c r="G3" i="6"/>
  <c r="A17" i="5"/>
  <c r="B3" i="5"/>
  <c r="H17" i="4"/>
  <c r="I17" i="4" s="1"/>
  <c r="J17" i="4" s="1"/>
  <c r="H16" i="4"/>
  <c r="I16" i="4" s="1"/>
  <c r="J16" i="4" s="1"/>
  <c r="H15" i="4"/>
  <c r="I15" i="4" s="1"/>
  <c r="J15" i="4" s="1"/>
  <c r="H14" i="4"/>
  <c r="I14" i="4" s="1"/>
  <c r="J14" i="4" s="1"/>
  <c r="H13" i="4"/>
  <c r="I13" i="4" s="1"/>
  <c r="J13" i="4" s="1"/>
  <c r="I12" i="4"/>
  <c r="J12" i="4" s="1"/>
  <c r="H12" i="4"/>
  <c r="H11" i="4"/>
  <c r="J11" i="4" s="1"/>
  <c r="H10" i="4"/>
  <c r="I10" i="4" s="1"/>
  <c r="J10" i="4" s="1"/>
  <c r="H9" i="4"/>
  <c r="I9" i="4" s="1"/>
  <c r="J9" i="4" s="1"/>
  <c r="H8" i="4"/>
  <c r="I8" i="4" s="1"/>
  <c r="J8" i="4" s="1"/>
  <c r="H7" i="4"/>
  <c r="J7" i="4" s="1"/>
  <c r="H6" i="4"/>
  <c r="I6" i="4" s="1"/>
  <c r="J6" i="4" s="1"/>
  <c r="H5" i="4"/>
  <c r="J5" i="4" s="1"/>
  <c r="H4" i="4"/>
  <c r="I4" i="4" s="1"/>
  <c r="J4" i="4" s="1"/>
  <c r="H3" i="4"/>
  <c r="J3" i="4" s="1"/>
  <c r="H2" i="4"/>
  <c r="D97" i="1"/>
  <c r="E96" i="1"/>
  <c r="D96" i="1"/>
  <c r="C96" i="1"/>
  <c r="D95" i="1"/>
  <c r="H91" i="1"/>
  <c r="G91" i="1"/>
  <c r="F91" i="1"/>
  <c r="E91" i="1"/>
  <c r="H90" i="1"/>
  <c r="G90" i="1"/>
  <c r="F90" i="1"/>
  <c r="E90" i="1"/>
  <c r="H89" i="1"/>
  <c r="G89" i="1"/>
  <c r="F89" i="1"/>
  <c r="E89" i="1"/>
  <c r="H88" i="1"/>
  <c r="G88" i="1"/>
  <c r="F88" i="1"/>
  <c r="E88" i="1"/>
  <c r="H84" i="1"/>
  <c r="H83" i="1"/>
  <c r="G83" i="1"/>
  <c r="F83" i="1"/>
  <c r="E83" i="1"/>
  <c r="D83" i="1"/>
  <c r="H82" i="1"/>
  <c r="K30" i="1"/>
  <c r="K29" i="1"/>
  <c r="G29" i="1"/>
  <c r="F29" i="1"/>
  <c r="E29" i="1"/>
  <c r="D29" i="1"/>
  <c r="C29" i="1"/>
  <c r="B29" i="1"/>
  <c r="K28" i="1"/>
  <c r="G28" i="1"/>
  <c r="F28" i="1"/>
  <c r="E28" i="1"/>
  <c r="D28" i="1"/>
  <c r="C28" i="1"/>
  <c r="B28" i="1"/>
  <c r="K27" i="1"/>
  <c r="G27" i="1"/>
  <c r="F27" i="1"/>
  <c r="E27" i="1"/>
  <c r="D27" i="1"/>
  <c r="C27" i="1"/>
  <c r="B27" i="1"/>
  <c r="K26" i="1"/>
  <c r="G26" i="1"/>
  <c r="F26" i="1"/>
  <c r="E26" i="1"/>
  <c r="D26" i="1"/>
  <c r="C26" i="1"/>
  <c r="B26" i="1"/>
  <c r="K25" i="1"/>
  <c r="G25" i="1"/>
  <c r="F25" i="1"/>
  <c r="E25" i="1"/>
  <c r="D25" i="1"/>
  <c r="C25" i="1"/>
  <c r="B25" i="1"/>
  <c r="K24" i="1"/>
  <c r="G24" i="1"/>
  <c r="F24" i="1"/>
  <c r="E24" i="1"/>
  <c r="D24" i="1"/>
  <c r="C24" i="1"/>
  <c r="B24" i="1"/>
  <c r="K23" i="1"/>
  <c r="G23" i="1"/>
  <c r="F23" i="1"/>
  <c r="E23" i="1"/>
  <c r="D23" i="1"/>
  <c r="C23" i="1"/>
  <c r="B23" i="1"/>
  <c r="K22" i="1"/>
  <c r="G22" i="1"/>
  <c r="F22" i="1"/>
  <c r="E22" i="1"/>
  <c r="D22" i="1"/>
  <c r="C22" i="1"/>
  <c r="B22" i="1"/>
  <c r="K21" i="1"/>
  <c r="G21" i="1"/>
  <c r="F21" i="1"/>
  <c r="E21" i="1"/>
  <c r="D21" i="1"/>
  <c r="C21" i="1"/>
  <c r="B21" i="1"/>
  <c r="K20" i="1"/>
  <c r="G20" i="1"/>
  <c r="F20" i="1"/>
  <c r="E20" i="1"/>
  <c r="D20" i="1"/>
  <c r="C20" i="1"/>
  <c r="B20" i="1"/>
  <c r="K19" i="1"/>
  <c r="G19" i="1"/>
  <c r="F19" i="1"/>
  <c r="E19" i="1"/>
  <c r="D19" i="1"/>
  <c r="C19" i="1"/>
  <c r="B19" i="1"/>
  <c r="K18" i="1"/>
  <c r="G18" i="1"/>
  <c r="F18" i="1"/>
  <c r="E18" i="1"/>
  <c r="D18" i="1"/>
  <c r="C18" i="1"/>
  <c r="B18" i="1"/>
  <c r="K17" i="1"/>
  <c r="G17" i="1"/>
  <c r="F17" i="1"/>
  <c r="E17" i="1"/>
  <c r="D17" i="1"/>
  <c r="C17" i="1"/>
  <c r="B17" i="1"/>
  <c r="K16" i="1"/>
  <c r="G16" i="1"/>
  <c r="F16" i="1"/>
  <c r="E16" i="1"/>
  <c r="D16" i="1"/>
  <c r="C16" i="1"/>
  <c r="B16" i="1"/>
  <c r="K15" i="1"/>
  <c r="G15" i="1"/>
  <c r="F15" i="1"/>
  <c r="E15" i="1"/>
  <c r="D15" i="1"/>
  <c r="C15" i="1"/>
  <c r="B15" i="1"/>
  <c r="K14" i="1"/>
  <c r="G14" i="1"/>
  <c r="F14" i="1"/>
  <c r="E14" i="1"/>
  <c r="D14" i="1"/>
  <c r="C14" i="1"/>
  <c r="B14" i="1"/>
  <c r="F8" i="1"/>
  <c r="D8" i="1"/>
  <c r="C3" i="5" l="1"/>
  <c r="E3" i="5" s="1"/>
  <c r="F78" i="1"/>
  <c r="G78" i="1"/>
  <c r="H78" i="1"/>
  <c r="F5" i="6"/>
  <c r="K3" i="6"/>
  <c r="L3" i="6" s="1"/>
  <c r="M3" i="6"/>
  <c r="N3" i="6" s="1"/>
  <c r="A31" i="5"/>
  <c r="B17" i="5"/>
  <c r="C17" i="5" s="1"/>
  <c r="E17" i="5" s="1"/>
  <c r="B4" i="5"/>
  <c r="D3" i="5"/>
  <c r="K17" i="4"/>
  <c r="I29" i="1" s="1"/>
  <c r="L17" i="4"/>
  <c r="M17" i="4"/>
  <c r="H29" i="1"/>
  <c r="K16" i="4"/>
  <c r="I28" i="1" s="1"/>
  <c r="L16" i="4"/>
  <c r="M16" i="4"/>
  <c r="H28" i="1"/>
  <c r="K15" i="4"/>
  <c r="M15" i="4"/>
  <c r="H27" i="1"/>
  <c r="H26" i="1"/>
  <c r="K14" i="4"/>
  <c r="M14" i="4"/>
  <c r="K13" i="4"/>
  <c r="I25" i="1" s="1"/>
  <c r="L13" i="4"/>
  <c r="M13" i="4"/>
  <c r="H25" i="1"/>
  <c r="K12" i="4"/>
  <c r="I24" i="1" s="1"/>
  <c r="L12" i="4"/>
  <c r="M12" i="4"/>
  <c r="H24" i="1"/>
  <c r="K11" i="4"/>
  <c r="I23" i="1" s="1"/>
  <c r="H23" i="1"/>
  <c r="K10" i="4"/>
  <c r="I22" i="1" s="1"/>
  <c r="L10" i="4"/>
  <c r="M10" i="4"/>
  <c r="H22" i="1"/>
  <c r="K9" i="4"/>
  <c r="I21" i="1" s="1"/>
  <c r="L9" i="4"/>
  <c r="M9" i="4"/>
  <c r="H21" i="1"/>
  <c r="K8" i="4"/>
  <c r="H20" i="1"/>
  <c r="K7" i="4"/>
  <c r="I19" i="1" s="1"/>
  <c r="H19" i="1"/>
  <c r="K6" i="4"/>
  <c r="I18" i="1" s="1"/>
  <c r="L6" i="4"/>
  <c r="M6" i="4"/>
  <c r="H18" i="1"/>
  <c r="K5" i="4"/>
  <c r="H17" i="1"/>
  <c r="K4" i="4"/>
  <c r="H16" i="1"/>
  <c r="H15" i="1"/>
  <c r="K3" i="4"/>
  <c r="O3" i="6" l="1"/>
  <c r="P3" i="6" s="1"/>
  <c r="M11" i="4"/>
  <c r="L11" i="4"/>
  <c r="M7" i="4"/>
  <c r="L7" i="4"/>
  <c r="B5" i="5"/>
  <c r="B6" i="5" s="1"/>
  <c r="B7" i="5" s="1"/>
  <c r="B8" i="5" s="1"/>
  <c r="B9" i="5" s="1"/>
  <c r="B10" i="5" s="1"/>
  <c r="B11" i="5" s="1"/>
  <c r="B12" i="5" s="1"/>
  <c r="B13" i="5" s="1"/>
  <c r="B14" i="5" s="1"/>
  <c r="F6" i="6"/>
  <c r="B31" i="5"/>
  <c r="C31" i="5" s="1"/>
  <c r="E31" i="5" s="1"/>
  <c r="A45" i="5"/>
  <c r="D17" i="5"/>
  <c r="B18" i="5"/>
  <c r="G3" i="5"/>
  <c r="H3" i="5" s="1"/>
  <c r="K3" i="5" s="1"/>
  <c r="F3" i="5"/>
  <c r="D84" i="1"/>
  <c r="D82" i="1"/>
  <c r="J2" i="4"/>
  <c r="I27" i="1"/>
  <c r="L15" i="4"/>
  <c r="I26" i="1"/>
  <c r="L14" i="4"/>
  <c r="I20" i="1"/>
  <c r="L8" i="4"/>
  <c r="M8" i="4"/>
  <c r="I17" i="1"/>
  <c r="L5" i="4"/>
  <c r="M5" i="4"/>
  <c r="I16" i="1"/>
  <c r="L4" i="4"/>
  <c r="M4" i="4"/>
  <c r="I15" i="1"/>
  <c r="M3" i="4"/>
  <c r="L3" i="4"/>
  <c r="F4" i="5" l="1"/>
  <c r="I4" i="5" s="1"/>
  <c r="I3" i="5"/>
  <c r="M3" i="5" s="1"/>
  <c r="N3" i="5" s="1"/>
  <c r="B19" i="5"/>
  <c r="B20" i="5" s="1"/>
  <c r="B21" i="5" s="1"/>
  <c r="B22" i="5" s="1"/>
  <c r="B23" i="5" s="1"/>
  <c r="B24" i="5" s="1"/>
  <c r="F7" i="6"/>
  <c r="D31" i="5"/>
  <c r="B32" i="5"/>
  <c r="B45" i="5"/>
  <c r="C45" i="5" s="1"/>
  <c r="E45" i="5" s="1"/>
  <c r="A59" i="5"/>
  <c r="G17" i="5"/>
  <c r="H17" i="5" s="1"/>
  <c r="K17" i="5" s="1"/>
  <c r="F17" i="5"/>
  <c r="I17" i="5" s="1"/>
  <c r="H14" i="1"/>
  <c r="K2" i="4"/>
  <c r="M2" i="4" s="1"/>
  <c r="Q3" i="6"/>
  <c r="R3" i="6"/>
  <c r="S3" i="6" l="1"/>
  <c r="G4" i="6" s="1"/>
  <c r="L3" i="5"/>
  <c r="O3" i="5" s="1"/>
  <c r="F5" i="5"/>
  <c r="I5" i="5" s="1"/>
  <c r="F18" i="5"/>
  <c r="I18" i="5" s="1"/>
  <c r="L2" i="4"/>
  <c r="B25" i="5"/>
  <c r="B33" i="5"/>
  <c r="B34" i="5" s="1"/>
  <c r="B35" i="5" s="1"/>
  <c r="B36" i="5" s="1"/>
  <c r="B37" i="5" s="1"/>
  <c r="B38" i="5" s="1"/>
  <c r="B39" i="5" s="1"/>
  <c r="B40" i="5" s="1"/>
  <c r="B41" i="5" s="1"/>
  <c r="B42" i="5" s="1"/>
  <c r="F8" i="6"/>
  <c r="G31" i="5"/>
  <c r="H31" i="5" s="1"/>
  <c r="K31" i="5" s="1"/>
  <c r="F31" i="5"/>
  <c r="D45" i="5"/>
  <c r="B46" i="5"/>
  <c r="B59" i="5"/>
  <c r="C59" i="5" s="1"/>
  <c r="E59" i="5" s="1"/>
  <c r="A73" i="5"/>
  <c r="L17" i="5"/>
  <c r="V17" i="5" s="1"/>
  <c r="M17" i="5"/>
  <c r="N17" i="5" s="1"/>
  <c r="I14" i="1"/>
  <c r="E84" i="1"/>
  <c r="E82" i="1"/>
  <c r="F96" i="1"/>
  <c r="H4" i="6"/>
  <c r="F6" i="5" l="1"/>
  <c r="I6" i="5" s="1"/>
  <c r="F32" i="5"/>
  <c r="I32" i="5" s="1"/>
  <c r="I31" i="5"/>
  <c r="M31" i="5" s="1"/>
  <c r="N31" i="5" s="1"/>
  <c r="F19" i="5"/>
  <c r="I19" i="5" s="1"/>
  <c r="B26" i="5"/>
  <c r="B27" i="5" s="1"/>
  <c r="B28" i="5" s="1"/>
  <c r="P3" i="5"/>
  <c r="Q3" i="5" s="1"/>
  <c r="S3" i="5" s="1"/>
  <c r="B47" i="5"/>
  <c r="B48" i="5" s="1"/>
  <c r="B49" i="5" s="1"/>
  <c r="B50" i="5" s="1"/>
  <c r="B51" i="5" s="1"/>
  <c r="B52" i="5" s="1"/>
  <c r="B53" i="5" s="1"/>
  <c r="B54" i="5" s="1"/>
  <c r="B55" i="5" s="1"/>
  <c r="B56" i="5" s="1"/>
  <c r="F9" i="6"/>
  <c r="G45" i="5"/>
  <c r="H45" i="5" s="1"/>
  <c r="K45" i="5" s="1"/>
  <c r="F45" i="5"/>
  <c r="D59" i="5"/>
  <c r="B60" i="5"/>
  <c r="B73" i="5"/>
  <c r="C73" i="5" s="1"/>
  <c r="E73" i="5" s="1"/>
  <c r="A87" i="5"/>
  <c r="F95" i="1"/>
  <c r="F84" i="1"/>
  <c r="E97" i="1"/>
  <c r="C97" i="1"/>
  <c r="F97" i="1"/>
  <c r="F82" i="1"/>
  <c r="C95" i="1"/>
  <c r="G84" i="1"/>
  <c r="G82" i="1"/>
  <c r="E95" i="1"/>
  <c r="K4" i="6"/>
  <c r="L4" i="6" s="1"/>
  <c r="M4" i="6"/>
  <c r="N4" i="6" s="1"/>
  <c r="O17" i="5"/>
  <c r="F7" i="5" l="1"/>
  <c r="I7" i="5" s="1"/>
  <c r="F33" i="5"/>
  <c r="I33" i="5" s="1"/>
  <c r="L31" i="5"/>
  <c r="F46" i="5"/>
  <c r="I46" i="5" s="1"/>
  <c r="I45" i="5"/>
  <c r="M45" i="5" s="1"/>
  <c r="N45" i="5" s="1"/>
  <c r="F20" i="5"/>
  <c r="I20" i="5" s="1"/>
  <c r="R3" i="5"/>
  <c r="O4" i="6"/>
  <c r="G4" i="5"/>
  <c r="H4" i="5" s="1"/>
  <c r="K4" i="5" s="1"/>
  <c r="B61" i="5"/>
  <c r="B62" i="5" s="1"/>
  <c r="B63" i="5" s="1"/>
  <c r="B64" i="5" s="1"/>
  <c r="B65" i="5" s="1"/>
  <c r="B66" i="5" s="1"/>
  <c r="B67" i="5" s="1"/>
  <c r="B68" i="5" s="1"/>
  <c r="B69" i="5" s="1"/>
  <c r="B70" i="5" s="1"/>
  <c r="O31" i="5"/>
  <c r="P31" i="5" s="1"/>
  <c r="F10" i="6"/>
  <c r="G59" i="5"/>
  <c r="H59" i="5" s="1"/>
  <c r="K59" i="5" s="1"/>
  <c r="F59" i="5"/>
  <c r="D73" i="5"/>
  <c r="B74" i="5"/>
  <c r="B87" i="5"/>
  <c r="C87" i="5" s="1"/>
  <c r="E87" i="5" s="1"/>
  <c r="A101" i="5"/>
  <c r="P4" i="6"/>
  <c r="P17" i="5"/>
  <c r="F8" i="5" l="1"/>
  <c r="I8" i="5" s="1"/>
  <c r="F34" i="5"/>
  <c r="I34" i="5" s="1"/>
  <c r="L45" i="5"/>
  <c r="O45" i="5" s="1"/>
  <c r="P45" i="5" s="1"/>
  <c r="R45" i="5" s="1"/>
  <c r="R4" i="6"/>
  <c r="F47" i="5"/>
  <c r="I47" i="5" s="1"/>
  <c r="F21" i="5"/>
  <c r="I21" i="5" s="1"/>
  <c r="F60" i="5"/>
  <c r="I60" i="5" s="1"/>
  <c r="I59" i="5"/>
  <c r="M59" i="5" s="1"/>
  <c r="N59" i="5" s="1"/>
  <c r="Q4" i="6"/>
  <c r="L4" i="5"/>
  <c r="M4" i="5"/>
  <c r="N4" i="5" s="1"/>
  <c r="B75" i="5"/>
  <c r="B76" i="5" s="1"/>
  <c r="B77" i="5" s="1"/>
  <c r="B78" i="5" s="1"/>
  <c r="B79" i="5" s="1"/>
  <c r="B80" i="5" s="1"/>
  <c r="B81" i="5" s="1"/>
  <c r="B82" i="5" s="1"/>
  <c r="B83" i="5" s="1"/>
  <c r="B84" i="5" s="1"/>
  <c r="F11" i="6"/>
  <c r="F35" i="5"/>
  <c r="I35" i="5" s="1"/>
  <c r="G73" i="5"/>
  <c r="H73" i="5" s="1"/>
  <c r="K73" i="5" s="1"/>
  <c r="F73" i="5"/>
  <c r="D87" i="5"/>
  <c r="B88" i="5"/>
  <c r="B89" i="5" s="1"/>
  <c r="B90" i="5" s="1"/>
  <c r="B91" i="5" s="1"/>
  <c r="B92" i="5" s="1"/>
  <c r="B93" i="5" s="1"/>
  <c r="B94" i="5" s="1"/>
  <c r="B95" i="5" s="1"/>
  <c r="B96" i="5" s="1"/>
  <c r="B97" i="5" s="1"/>
  <c r="B98" i="5" s="1"/>
  <c r="B101" i="5"/>
  <c r="C101" i="5" s="1"/>
  <c r="E101" i="5" s="1"/>
  <c r="A115" i="5"/>
  <c r="R31" i="5"/>
  <c r="Q31" i="5"/>
  <c r="S31" i="5" s="1"/>
  <c r="R17" i="5"/>
  <c r="Q17" i="5"/>
  <c r="S17" i="5" s="1"/>
  <c r="F9" i="5" l="1"/>
  <c r="I9" i="5" s="1"/>
  <c r="F22" i="5"/>
  <c r="I22" i="5" s="1"/>
  <c r="F61" i="5"/>
  <c r="I61" i="5" s="1"/>
  <c r="F48" i="5"/>
  <c r="I48" i="5" s="1"/>
  <c r="S4" i="6"/>
  <c r="G5" i="6" s="1"/>
  <c r="H5" i="6" s="1"/>
  <c r="M5" i="6" s="1"/>
  <c r="N5" i="6" s="1"/>
  <c r="L59" i="5"/>
  <c r="O59" i="5" s="1"/>
  <c r="P59" i="5" s="1"/>
  <c r="F74" i="5"/>
  <c r="I74" i="5" s="1"/>
  <c r="I73" i="5"/>
  <c r="M73" i="5" s="1"/>
  <c r="N73" i="5" s="1"/>
  <c r="Q45" i="5"/>
  <c r="O4" i="5"/>
  <c r="P4" i="5" s="1"/>
  <c r="G32" i="5"/>
  <c r="H32" i="5" s="1"/>
  <c r="K32" i="5" s="1"/>
  <c r="G18" i="5"/>
  <c r="H18" i="5" s="1"/>
  <c r="K18" i="5" s="1"/>
  <c r="F12" i="6"/>
  <c r="F36" i="5"/>
  <c r="I36" i="5" s="1"/>
  <c r="G87" i="5"/>
  <c r="H87" i="5" s="1"/>
  <c r="K87" i="5" s="1"/>
  <c r="F87" i="5"/>
  <c r="D101" i="5"/>
  <c r="B102" i="5"/>
  <c r="B103" i="5" s="1"/>
  <c r="B104" i="5" s="1"/>
  <c r="B105" i="5" s="1"/>
  <c r="B106" i="5" s="1"/>
  <c r="B107" i="5" s="1"/>
  <c r="B108" i="5" s="1"/>
  <c r="B109" i="5" s="1"/>
  <c r="B110" i="5" s="1"/>
  <c r="B111" i="5" s="1"/>
  <c r="B112" i="5" s="1"/>
  <c r="B115" i="5"/>
  <c r="C115" i="5" s="1"/>
  <c r="E115" i="5" s="1"/>
  <c r="A129" i="5"/>
  <c r="F23" i="5" l="1"/>
  <c r="I23" i="5" s="1"/>
  <c r="F10" i="5"/>
  <c r="I10" i="5" s="1"/>
  <c r="F49" i="5"/>
  <c r="I49" i="5" s="1"/>
  <c r="F75" i="5"/>
  <c r="I75" i="5" s="1"/>
  <c r="F62" i="5"/>
  <c r="I62" i="5" s="1"/>
  <c r="K5" i="6"/>
  <c r="L5" i="6" s="1"/>
  <c r="S45" i="5"/>
  <c r="G46" i="5" s="1"/>
  <c r="H46" i="5" s="1"/>
  <c r="K46" i="5" s="1"/>
  <c r="F88" i="5"/>
  <c r="I88" i="5" s="1"/>
  <c r="I87" i="5"/>
  <c r="M87" i="5" s="1"/>
  <c r="N87" i="5" s="1"/>
  <c r="L73" i="5"/>
  <c r="O73" i="5" s="1"/>
  <c r="P73" i="5" s="1"/>
  <c r="R73" i="5" s="1"/>
  <c r="O5" i="6"/>
  <c r="P5" i="6" s="1"/>
  <c r="R59" i="5"/>
  <c r="Q59" i="5"/>
  <c r="S59" i="5" s="1"/>
  <c r="R4" i="5"/>
  <c r="Q4" i="5"/>
  <c r="S4" i="5" s="1"/>
  <c r="F13" i="6"/>
  <c r="F37" i="5"/>
  <c r="I37" i="5" s="1"/>
  <c r="G101" i="5"/>
  <c r="H101" i="5" s="1"/>
  <c r="K101" i="5" s="1"/>
  <c r="F101" i="5"/>
  <c r="D115" i="5"/>
  <c r="B116" i="5"/>
  <c r="B117" i="5" s="1"/>
  <c r="B118" i="5" s="1"/>
  <c r="B119" i="5" s="1"/>
  <c r="B120" i="5" s="1"/>
  <c r="B121" i="5" s="1"/>
  <c r="B122" i="5" s="1"/>
  <c r="B123" i="5" s="1"/>
  <c r="B124" i="5" s="1"/>
  <c r="B125" i="5" s="1"/>
  <c r="B126" i="5" s="1"/>
  <c r="B129" i="5"/>
  <c r="C129" i="5" s="1"/>
  <c r="E129" i="5" s="1"/>
  <c r="A143" i="5"/>
  <c r="F24" i="5"/>
  <c r="I24" i="5" s="1"/>
  <c r="L32" i="5"/>
  <c r="M32" i="5"/>
  <c r="N32" i="5" s="1"/>
  <c r="M18" i="5"/>
  <c r="N18" i="5" s="1"/>
  <c r="L18" i="5"/>
  <c r="V18" i="5" s="1"/>
  <c r="F11" i="5" l="1"/>
  <c r="I11" i="5" s="1"/>
  <c r="F76" i="5"/>
  <c r="I76" i="5" s="1"/>
  <c r="F63" i="5"/>
  <c r="I63" i="5" s="1"/>
  <c r="F50" i="5"/>
  <c r="I50" i="5" s="1"/>
  <c r="F89" i="5"/>
  <c r="I89" i="5" s="1"/>
  <c r="L46" i="5"/>
  <c r="M46" i="5"/>
  <c r="N46" i="5" s="1"/>
  <c r="L87" i="5"/>
  <c r="O87" i="5" s="1"/>
  <c r="P87" i="5" s="1"/>
  <c r="G60" i="5"/>
  <c r="H60" i="5" s="1"/>
  <c r="K60" i="5" s="1"/>
  <c r="F102" i="5"/>
  <c r="I102" i="5" s="1"/>
  <c r="I101" i="5"/>
  <c r="M101" i="5" s="1"/>
  <c r="N101" i="5" s="1"/>
  <c r="Q73" i="5"/>
  <c r="R5" i="6"/>
  <c r="Q5" i="6"/>
  <c r="G5" i="5"/>
  <c r="H5" i="5" s="1"/>
  <c r="K5" i="5" s="1"/>
  <c r="F14" i="6"/>
  <c r="F38" i="5"/>
  <c r="I38" i="5" s="1"/>
  <c r="F77" i="5"/>
  <c r="I77" i="5" s="1"/>
  <c r="G115" i="5"/>
  <c r="H115" i="5" s="1"/>
  <c r="K115" i="5" s="1"/>
  <c r="F115" i="5"/>
  <c r="D129" i="5"/>
  <c r="B130" i="5"/>
  <c r="B131" i="5" s="1"/>
  <c r="B132" i="5" s="1"/>
  <c r="B133" i="5" s="1"/>
  <c r="B134" i="5" s="1"/>
  <c r="B135" i="5" s="1"/>
  <c r="B136" i="5" s="1"/>
  <c r="B137" i="5" s="1"/>
  <c r="B138" i="5" s="1"/>
  <c r="B139" i="5" s="1"/>
  <c r="B140" i="5" s="1"/>
  <c r="B143" i="5"/>
  <c r="C143" i="5" s="1"/>
  <c r="E143" i="5" s="1"/>
  <c r="A157" i="5"/>
  <c r="F25" i="5"/>
  <c r="I25" i="5" s="1"/>
  <c r="O32" i="5"/>
  <c r="O18" i="5"/>
  <c r="F12" i="5" l="1"/>
  <c r="I12" i="5" s="1"/>
  <c r="F90" i="5"/>
  <c r="I90" i="5" s="1"/>
  <c r="F64" i="5"/>
  <c r="I64" i="5" s="1"/>
  <c r="F51" i="5"/>
  <c r="I51" i="5" s="1"/>
  <c r="S5" i="6"/>
  <c r="G6" i="6" s="1"/>
  <c r="H6" i="6" s="1"/>
  <c r="L101" i="5"/>
  <c r="O46" i="5"/>
  <c r="P46" i="5" s="1"/>
  <c r="Q46" i="5" s="1"/>
  <c r="S46" i="5" s="1"/>
  <c r="S73" i="5"/>
  <c r="G74" i="5" s="1"/>
  <c r="H74" i="5" s="1"/>
  <c r="K74" i="5" s="1"/>
  <c r="M60" i="5"/>
  <c r="N60" i="5" s="1"/>
  <c r="L60" i="5"/>
  <c r="F103" i="5"/>
  <c r="I103" i="5" s="1"/>
  <c r="F116" i="5"/>
  <c r="I116" i="5" s="1"/>
  <c r="I115" i="5"/>
  <c r="M115" i="5" s="1"/>
  <c r="N115" i="5" s="1"/>
  <c r="O101" i="5"/>
  <c r="P101" i="5" s="1"/>
  <c r="Q101" i="5" s="1"/>
  <c r="R87" i="5"/>
  <c r="Q87" i="5"/>
  <c r="L5" i="5"/>
  <c r="M5" i="5"/>
  <c r="N5" i="5" s="1"/>
  <c r="F39" i="5"/>
  <c r="I39" i="5" s="1"/>
  <c r="F52" i="5"/>
  <c r="I52" i="5" s="1"/>
  <c r="F78" i="5"/>
  <c r="I78" i="5" s="1"/>
  <c r="G129" i="5"/>
  <c r="H129" i="5" s="1"/>
  <c r="K129" i="5" s="1"/>
  <c r="F129" i="5"/>
  <c r="D143" i="5"/>
  <c r="B144" i="5"/>
  <c r="B145" i="5" s="1"/>
  <c r="B146" i="5" s="1"/>
  <c r="B147" i="5" s="1"/>
  <c r="B148" i="5" s="1"/>
  <c r="B149" i="5" s="1"/>
  <c r="B150" i="5" s="1"/>
  <c r="B151" i="5" s="1"/>
  <c r="B152" i="5" s="1"/>
  <c r="B153" i="5" s="1"/>
  <c r="B154" i="5" s="1"/>
  <c r="B157" i="5"/>
  <c r="C157" i="5" s="1"/>
  <c r="E157" i="5" s="1"/>
  <c r="A171" i="5"/>
  <c r="F26" i="5"/>
  <c r="I26" i="5" s="1"/>
  <c r="F13" i="5"/>
  <c r="I13" i="5" s="1"/>
  <c r="M6" i="6"/>
  <c r="N6" i="6" s="1"/>
  <c r="K6" i="6"/>
  <c r="L6" i="6" s="1"/>
  <c r="P32" i="5"/>
  <c r="P18" i="5"/>
  <c r="F65" i="5" l="1"/>
  <c r="I65" i="5" s="1"/>
  <c r="F91" i="5"/>
  <c r="I91" i="5" s="1"/>
  <c r="O60" i="5"/>
  <c r="P60" i="5" s="1"/>
  <c r="R60" i="5" s="1"/>
  <c r="L115" i="5"/>
  <c r="O115" i="5" s="1"/>
  <c r="L74" i="5"/>
  <c r="M74" i="5"/>
  <c r="N74" i="5" s="1"/>
  <c r="S87" i="5"/>
  <c r="G88" i="5" s="1"/>
  <c r="H88" i="5" s="1"/>
  <c r="K88" i="5" s="1"/>
  <c r="S101" i="5"/>
  <c r="G102" i="5" s="1"/>
  <c r="H102" i="5" s="1"/>
  <c r="K102" i="5" s="1"/>
  <c r="F117" i="5"/>
  <c r="I117" i="5" s="1"/>
  <c r="F104" i="5"/>
  <c r="I104" i="5" s="1"/>
  <c r="F130" i="5"/>
  <c r="I130" i="5" s="1"/>
  <c r="I129" i="5"/>
  <c r="M129" i="5" s="1"/>
  <c r="N129" i="5" s="1"/>
  <c r="R101" i="5"/>
  <c r="R46" i="5"/>
  <c r="O5" i="5"/>
  <c r="P5" i="5" s="1"/>
  <c r="G47" i="5"/>
  <c r="H47" i="5" s="1"/>
  <c r="K47" i="5" s="1"/>
  <c r="F40" i="5"/>
  <c r="I40" i="5" s="1"/>
  <c r="F53" i="5"/>
  <c r="I53" i="5" s="1"/>
  <c r="F79" i="5"/>
  <c r="I79" i="5" s="1"/>
  <c r="G143" i="5"/>
  <c r="H143" i="5" s="1"/>
  <c r="K143" i="5" s="1"/>
  <c r="F143" i="5"/>
  <c r="D157" i="5"/>
  <c r="B158" i="5"/>
  <c r="B159" i="5" s="1"/>
  <c r="B160" i="5" s="1"/>
  <c r="B161" i="5" s="1"/>
  <c r="B162" i="5" s="1"/>
  <c r="B163" i="5" s="1"/>
  <c r="B164" i="5" s="1"/>
  <c r="B165" i="5" s="1"/>
  <c r="B166" i="5" s="1"/>
  <c r="B167" i="5" s="1"/>
  <c r="B168" i="5" s="1"/>
  <c r="B171" i="5"/>
  <c r="C171" i="5" s="1"/>
  <c r="E171" i="5" s="1"/>
  <c r="A185" i="5"/>
  <c r="F27" i="5"/>
  <c r="I27" i="5" s="1"/>
  <c r="F14" i="5"/>
  <c r="I14" i="5" s="1"/>
  <c r="O6" i="6"/>
  <c r="R32" i="5"/>
  <c r="Q32" i="5"/>
  <c r="S32" i="5" s="1"/>
  <c r="Q18" i="5"/>
  <c r="S18" i="5" s="1"/>
  <c r="R18" i="5"/>
  <c r="F66" i="5" l="1"/>
  <c r="I66" i="5" s="1"/>
  <c r="F131" i="5"/>
  <c r="I131" i="5" s="1"/>
  <c r="F92" i="5"/>
  <c r="I92" i="5" s="1"/>
  <c r="F118" i="5"/>
  <c r="I118" i="5" s="1"/>
  <c r="O74" i="5"/>
  <c r="P74" i="5" s="1"/>
  <c r="R74" i="5" s="1"/>
  <c r="L102" i="5"/>
  <c r="M102" i="5"/>
  <c r="N102" i="5" s="1"/>
  <c r="M88" i="5"/>
  <c r="N88" i="5" s="1"/>
  <c r="L88" i="5"/>
  <c r="F105" i="5"/>
  <c r="I105" i="5" s="1"/>
  <c r="L129" i="5"/>
  <c r="O129" i="5" s="1"/>
  <c r="F144" i="5"/>
  <c r="I144" i="5" s="1"/>
  <c r="I143" i="5"/>
  <c r="M143" i="5" s="1"/>
  <c r="N143" i="5" s="1"/>
  <c r="Q60" i="5"/>
  <c r="S60" i="5" s="1"/>
  <c r="R5" i="5"/>
  <c r="Q5" i="5"/>
  <c r="S5" i="5" s="1"/>
  <c r="G33" i="5"/>
  <c r="H33" i="5" s="1"/>
  <c r="K33" i="5" s="1"/>
  <c r="G19" i="5"/>
  <c r="H19" i="5" s="1"/>
  <c r="K19" i="5" s="1"/>
  <c r="F41" i="5"/>
  <c r="I41" i="5" s="1"/>
  <c r="F54" i="5"/>
  <c r="I54" i="5" s="1"/>
  <c r="F67" i="5"/>
  <c r="I67" i="5" s="1"/>
  <c r="F80" i="5"/>
  <c r="I80" i="5" s="1"/>
  <c r="F93" i="5"/>
  <c r="I93" i="5" s="1"/>
  <c r="G157" i="5"/>
  <c r="H157" i="5" s="1"/>
  <c r="K157" i="5" s="1"/>
  <c r="F157" i="5"/>
  <c r="D171" i="5"/>
  <c r="B172" i="5"/>
  <c r="B173" i="5" s="1"/>
  <c r="B174" i="5" s="1"/>
  <c r="B175" i="5" s="1"/>
  <c r="B176" i="5" s="1"/>
  <c r="B177" i="5" s="1"/>
  <c r="B178" i="5" s="1"/>
  <c r="B179" i="5" s="1"/>
  <c r="B180" i="5" s="1"/>
  <c r="B181" i="5" s="1"/>
  <c r="B182" i="5" s="1"/>
  <c r="B185" i="5"/>
  <c r="C185" i="5" s="1"/>
  <c r="E185" i="5" s="1"/>
  <c r="A199" i="5"/>
  <c r="F28" i="5"/>
  <c r="I28" i="5" s="1"/>
  <c r="L47" i="5"/>
  <c r="M47" i="5"/>
  <c r="N47" i="5" s="1"/>
  <c r="P115" i="5"/>
  <c r="P6" i="6"/>
  <c r="F132" i="5" l="1"/>
  <c r="I132" i="5" s="1"/>
  <c r="Q74" i="5"/>
  <c r="S74" i="5" s="1"/>
  <c r="G75" i="5" s="1"/>
  <c r="H75" i="5" s="1"/>
  <c r="K75" i="5" s="1"/>
  <c r="F119" i="5"/>
  <c r="I119" i="5" s="1"/>
  <c r="O102" i="5"/>
  <c r="P102" i="5" s="1"/>
  <c r="F106" i="5"/>
  <c r="I106" i="5" s="1"/>
  <c r="L143" i="5"/>
  <c r="O143" i="5" s="1"/>
  <c r="P143" i="5" s="1"/>
  <c r="O88" i="5"/>
  <c r="P88" i="5" s="1"/>
  <c r="Q88" i="5" s="1"/>
  <c r="F145" i="5"/>
  <c r="I145" i="5" s="1"/>
  <c r="G61" i="5"/>
  <c r="H61" i="5" s="1"/>
  <c r="K61" i="5" s="1"/>
  <c r="F158" i="5"/>
  <c r="I158" i="5" s="1"/>
  <c r="I157" i="5"/>
  <c r="M157" i="5" s="1"/>
  <c r="N157" i="5" s="1"/>
  <c r="O47" i="5"/>
  <c r="P47" i="5" s="1"/>
  <c r="R47" i="5" s="1"/>
  <c r="G6" i="5"/>
  <c r="H6" i="5" s="1"/>
  <c r="K6" i="5" s="1"/>
  <c r="P129" i="5"/>
  <c r="Q129" i="5" s="1"/>
  <c r="F42" i="5"/>
  <c r="I42" i="5" s="1"/>
  <c r="F55" i="5"/>
  <c r="I55" i="5" s="1"/>
  <c r="F68" i="5"/>
  <c r="I68" i="5" s="1"/>
  <c r="F81" i="5"/>
  <c r="I81" i="5" s="1"/>
  <c r="F94" i="5"/>
  <c r="I94" i="5" s="1"/>
  <c r="F133" i="5"/>
  <c r="I133" i="5" s="1"/>
  <c r="G171" i="5"/>
  <c r="H171" i="5" s="1"/>
  <c r="K171" i="5" s="1"/>
  <c r="F171" i="5"/>
  <c r="D185" i="5"/>
  <c r="B186" i="5"/>
  <c r="B187" i="5" s="1"/>
  <c r="B188" i="5" s="1"/>
  <c r="B189" i="5" s="1"/>
  <c r="B190" i="5" s="1"/>
  <c r="B191" i="5" s="1"/>
  <c r="B192" i="5" s="1"/>
  <c r="B193" i="5" s="1"/>
  <c r="B194" i="5" s="1"/>
  <c r="B195" i="5" s="1"/>
  <c r="B196" i="5" s="1"/>
  <c r="A213" i="5"/>
  <c r="B199" i="5"/>
  <c r="C199" i="5" s="1"/>
  <c r="E199" i="5" s="1"/>
  <c r="M33" i="5"/>
  <c r="N33" i="5" s="1"/>
  <c r="L33" i="5"/>
  <c r="M19" i="5"/>
  <c r="N19" i="5" s="1"/>
  <c r="L19" i="5"/>
  <c r="V19" i="5" s="1"/>
  <c r="R115" i="5"/>
  <c r="Q115" i="5"/>
  <c r="R6" i="6"/>
  <c r="Q6" i="6"/>
  <c r="R102" i="5" l="1"/>
  <c r="M75" i="5"/>
  <c r="N75" i="5" s="1"/>
  <c r="L75" i="5"/>
  <c r="O75" i="5" s="1"/>
  <c r="F120" i="5"/>
  <c r="I120" i="5" s="1"/>
  <c r="Q102" i="5"/>
  <c r="S102" i="5" s="1"/>
  <c r="G103" i="5" s="1"/>
  <c r="H103" i="5" s="1"/>
  <c r="K103" i="5" s="1"/>
  <c r="F159" i="5"/>
  <c r="I159" i="5" s="1"/>
  <c r="F107" i="5"/>
  <c r="I107" i="5" s="1"/>
  <c r="F146" i="5"/>
  <c r="I146" i="5" s="1"/>
  <c r="S6" i="6"/>
  <c r="G7" i="6" s="1"/>
  <c r="H7" i="6" s="1"/>
  <c r="S129" i="5"/>
  <c r="G130" i="5" s="1"/>
  <c r="H130" i="5" s="1"/>
  <c r="K130" i="5" s="1"/>
  <c r="S115" i="5"/>
  <c r="G116" i="5" s="1"/>
  <c r="H116" i="5" s="1"/>
  <c r="K116" i="5" s="1"/>
  <c r="S88" i="5"/>
  <c r="G89" i="5" s="1"/>
  <c r="H89" i="5" s="1"/>
  <c r="K89" i="5" s="1"/>
  <c r="L61" i="5"/>
  <c r="M61" i="5"/>
  <c r="N61" i="5" s="1"/>
  <c r="L157" i="5"/>
  <c r="O157" i="5" s="1"/>
  <c r="P157" i="5" s="1"/>
  <c r="F172" i="5"/>
  <c r="I172" i="5" s="1"/>
  <c r="I171" i="5"/>
  <c r="M171" i="5" s="1"/>
  <c r="N171" i="5" s="1"/>
  <c r="R88" i="5"/>
  <c r="Q47" i="5"/>
  <c r="R129" i="5"/>
  <c r="O33" i="5"/>
  <c r="P33" i="5" s="1"/>
  <c r="M6" i="5"/>
  <c r="N6" i="5" s="1"/>
  <c r="L6" i="5"/>
  <c r="Q143" i="5"/>
  <c r="R143" i="5"/>
  <c r="F56" i="5"/>
  <c r="I56" i="5" s="1"/>
  <c r="F69" i="5"/>
  <c r="I69" i="5" s="1"/>
  <c r="F82" i="5"/>
  <c r="I82" i="5" s="1"/>
  <c r="F95" i="5"/>
  <c r="I95" i="5" s="1"/>
  <c r="F134" i="5"/>
  <c r="I134" i="5" s="1"/>
  <c r="G185" i="5"/>
  <c r="H185" i="5" s="1"/>
  <c r="K185" i="5" s="1"/>
  <c r="F185" i="5"/>
  <c r="B213" i="5"/>
  <c r="C213" i="5" s="1"/>
  <c r="E213" i="5" s="1"/>
  <c r="A227" i="5"/>
  <c r="D199" i="5"/>
  <c r="B200" i="5"/>
  <c r="B201" i="5" s="1"/>
  <c r="B202" i="5" s="1"/>
  <c r="B203" i="5" s="1"/>
  <c r="B204" i="5" s="1"/>
  <c r="B205" i="5" s="1"/>
  <c r="B206" i="5" s="1"/>
  <c r="B207" i="5" s="1"/>
  <c r="B208" i="5" s="1"/>
  <c r="B209" i="5" s="1"/>
  <c r="B210" i="5" s="1"/>
  <c r="O19" i="5"/>
  <c r="L116" i="5" l="1"/>
  <c r="L103" i="5"/>
  <c r="F147" i="5"/>
  <c r="I147" i="5" s="1"/>
  <c r="F121" i="5"/>
  <c r="I121" i="5" s="1"/>
  <c r="F108" i="5"/>
  <c r="I108" i="5" s="1"/>
  <c r="F160" i="5"/>
  <c r="I160" i="5" s="1"/>
  <c r="M116" i="5"/>
  <c r="N116" i="5" s="1"/>
  <c r="M130" i="5"/>
  <c r="N130" i="5" s="1"/>
  <c r="L130" i="5"/>
  <c r="L171" i="5"/>
  <c r="O171" i="5" s="1"/>
  <c r="P171" i="5" s="1"/>
  <c r="R171" i="5" s="1"/>
  <c r="S143" i="5"/>
  <c r="G144" i="5" s="1"/>
  <c r="H144" i="5" s="1"/>
  <c r="K144" i="5" s="1"/>
  <c r="M89" i="5"/>
  <c r="N89" i="5" s="1"/>
  <c r="L89" i="5"/>
  <c r="M103" i="5"/>
  <c r="N103" i="5" s="1"/>
  <c r="O61" i="5"/>
  <c r="P61" i="5" s="1"/>
  <c r="S47" i="5"/>
  <c r="G48" i="5" s="1"/>
  <c r="H48" i="5" s="1"/>
  <c r="K48" i="5" s="1"/>
  <c r="F173" i="5"/>
  <c r="I173" i="5" s="1"/>
  <c r="F186" i="5"/>
  <c r="I186" i="5" s="1"/>
  <c r="I185" i="5"/>
  <c r="M185" i="5" s="1"/>
  <c r="N185" i="5" s="1"/>
  <c r="P75" i="5"/>
  <c r="R75" i="5" s="1"/>
  <c r="R157" i="5"/>
  <c r="Q157" i="5"/>
  <c r="O6" i="5"/>
  <c r="Q33" i="5"/>
  <c r="S33" i="5" s="1"/>
  <c r="R33" i="5"/>
  <c r="F70" i="5"/>
  <c r="I70" i="5" s="1"/>
  <c r="F83" i="5"/>
  <c r="I83" i="5" s="1"/>
  <c r="F96" i="5"/>
  <c r="I96" i="5" s="1"/>
  <c r="F109" i="5"/>
  <c r="I109" i="5" s="1"/>
  <c r="F135" i="5"/>
  <c r="I135" i="5" s="1"/>
  <c r="F148" i="5"/>
  <c r="I148" i="5" s="1"/>
  <c r="D213" i="5"/>
  <c r="B214" i="5"/>
  <c r="B215" i="5" s="1"/>
  <c r="B216" i="5" s="1"/>
  <c r="B217" i="5" s="1"/>
  <c r="B218" i="5" s="1"/>
  <c r="B219" i="5" s="1"/>
  <c r="B220" i="5" s="1"/>
  <c r="B221" i="5" s="1"/>
  <c r="B222" i="5" s="1"/>
  <c r="B223" i="5" s="1"/>
  <c r="B224" i="5" s="1"/>
  <c r="B227" i="5"/>
  <c r="C227" i="5" s="1"/>
  <c r="E227" i="5" s="1"/>
  <c r="A241" i="5"/>
  <c r="F199" i="5"/>
  <c r="G199" i="5"/>
  <c r="H199" i="5" s="1"/>
  <c r="K199" i="5" s="1"/>
  <c r="M7" i="6"/>
  <c r="N7" i="6" s="1"/>
  <c r="K7" i="6"/>
  <c r="L7" i="6" s="1"/>
  <c r="P19" i="5"/>
  <c r="O116" i="5" l="1"/>
  <c r="P116" i="5" s="1"/>
  <c r="L144" i="5"/>
  <c r="O103" i="5"/>
  <c r="P103" i="5" s="1"/>
  <c r="F122" i="5"/>
  <c r="I122" i="5" s="1"/>
  <c r="F187" i="5"/>
  <c r="I187" i="5" s="1"/>
  <c r="F161" i="5"/>
  <c r="I161" i="5" s="1"/>
  <c r="O130" i="5"/>
  <c r="P130" i="5" s="1"/>
  <c r="F174" i="5"/>
  <c r="I174" i="5" s="1"/>
  <c r="R61" i="5"/>
  <c r="M144" i="5"/>
  <c r="N144" i="5" s="1"/>
  <c r="L185" i="5"/>
  <c r="O185" i="5" s="1"/>
  <c r="P185" i="5" s="1"/>
  <c r="S157" i="5"/>
  <c r="G158" i="5" s="1"/>
  <c r="H158" i="5" s="1"/>
  <c r="K158" i="5" s="1"/>
  <c r="M48" i="5"/>
  <c r="N48" i="5" s="1"/>
  <c r="L48" i="5"/>
  <c r="Q61" i="5"/>
  <c r="S61" i="5" s="1"/>
  <c r="G62" i="5" s="1"/>
  <c r="H62" i="5" s="1"/>
  <c r="K62" i="5" s="1"/>
  <c r="Q103" i="5"/>
  <c r="O89" i="5"/>
  <c r="P89" i="5" s="1"/>
  <c r="F200" i="5"/>
  <c r="I200" i="5" s="1"/>
  <c r="I199" i="5"/>
  <c r="M199" i="5" s="1"/>
  <c r="N199" i="5" s="1"/>
  <c r="Q75" i="5"/>
  <c r="Q171" i="5"/>
  <c r="P6" i="5"/>
  <c r="Q6" i="5" s="1"/>
  <c r="S6" i="5" s="1"/>
  <c r="G34" i="5"/>
  <c r="H34" i="5" s="1"/>
  <c r="K34" i="5" s="1"/>
  <c r="R116" i="5"/>
  <c r="Q116" i="5"/>
  <c r="F84" i="5"/>
  <c r="I84" i="5" s="1"/>
  <c r="F97" i="5"/>
  <c r="I97" i="5" s="1"/>
  <c r="F110" i="5"/>
  <c r="I110" i="5" s="1"/>
  <c r="F136" i="5"/>
  <c r="I136" i="5" s="1"/>
  <c r="F149" i="5"/>
  <c r="I149" i="5" s="1"/>
  <c r="G213" i="5"/>
  <c r="H213" i="5" s="1"/>
  <c r="K213" i="5" s="1"/>
  <c r="F213" i="5"/>
  <c r="D227" i="5"/>
  <c r="B228" i="5"/>
  <c r="B229" i="5" s="1"/>
  <c r="B230" i="5" s="1"/>
  <c r="B231" i="5" s="1"/>
  <c r="B232" i="5" s="1"/>
  <c r="B233" i="5" s="1"/>
  <c r="B234" i="5" s="1"/>
  <c r="B235" i="5" s="1"/>
  <c r="B236" i="5" s="1"/>
  <c r="B237" i="5" s="1"/>
  <c r="B238" i="5" s="1"/>
  <c r="B241" i="5"/>
  <c r="C241" i="5" s="1"/>
  <c r="E241" i="5" s="1"/>
  <c r="A255" i="5"/>
  <c r="O7" i="6"/>
  <c r="R19" i="5"/>
  <c r="Q19" i="5"/>
  <c r="S19" i="5" s="1"/>
  <c r="O144" i="5" l="1"/>
  <c r="R103" i="5"/>
  <c r="F188" i="5"/>
  <c r="I188" i="5" s="1"/>
  <c r="F123" i="5"/>
  <c r="I123" i="5" s="1"/>
  <c r="F162" i="5"/>
  <c r="I162" i="5" s="1"/>
  <c r="F175" i="5"/>
  <c r="I175" i="5" s="1"/>
  <c r="F201" i="5"/>
  <c r="I201" i="5" s="1"/>
  <c r="O48" i="5"/>
  <c r="P48" i="5" s="1"/>
  <c r="Q89" i="5"/>
  <c r="S89" i="5" s="1"/>
  <c r="G90" i="5" s="1"/>
  <c r="H90" i="5" s="1"/>
  <c r="K90" i="5" s="1"/>
  <c r="L199" i="5"/>
  <c r="O199" i="5" s="1"/>
  <c r="L158" i="5"/>
  <c r="M158" i="5"/>
  <c r="N158" i="5" s="1"/>
  <c r="R89" i="5"/>
  <c r="S171" i="5"/>
  <c r="G172" i="5" s="1"/>
  <c r="H172" i="5" s="1"/>
  <c r="K172" i="5" s="1"/>
  <c r="S116" i="5"/>
  <c r="G117" i="5" s="1"/>
  <c r="H117" i="5" s="1"/>
  <c r="K117" i="5" s="1"/>
  <c r="S103" i="5"/>
  <c r="G104" i="5" s="1"/>
  <c r="H104" i="5" s="1"/>
  <c r="K104" i="5" s="1"/>
  <c r="S75" i="5"/>
  <c r="G76" i="5" s="1"/>
  <c r="H76" i="5" s="1"/>
  <c r="K76" i="5" s="1"/>
  <c r="M62" i="5"/>
  <c r="N62" i="5" s="1"/>
  <c r="L62" i="5"/>
  <c r="F214" i="5"/>
  <c r="I214" i="5" s="1"/>
  <c r="I213" i="5"/>
  <c r="M213" i="5" s="1"/>
  <c r="N213" i="5" s="1"/>
  <c r="Q185" i="5"/>
  <c r="R185" i="5"/>
  <c r="R6" i="5"/>
  <c r="G7" i="5"/>
  <c r="H7" i="5" s="1"/>
  <c r="K7" i="5" s="1"/>
  <c r="P144" i="5"/>
  <c r="R144" i="5" s="1"/>
  <c r="Q130" i="5"/>
  <c r="R130" i="5"/>
  <c r="M34" i="5"/>
  <c r="N34" i="5" s="1"/>
  <c r="L34" i="5"/>
  <c r="G20" i="5"/>
  <c r="H20" i="5" s="1"/>
  <c r="K20" i="5" s="1"/>
  <c r="F98" i="5"/>
  <c r="I98" i="5" s="1"/>
  <c r="F111" i="5"/>
  <c r="I111" i="5" s="1"/>
  <c r="F137" i="5"/>
  <c r="I137" i="5" s="1"/>
  <c r="F150" i="5"/>
  <c r="I150" i="5" s="1"/>
  <c r="F163" i="5"/>
  <c r="I163" i="5" s="1"/>
  <c r="F176" i="5"/>
  <c r="I176" i="5" s="1"/>
  <c r="G227" i="5"/>
  <c r="H227" i="5" s="1"/>
  <c r="K227" i="5" s="1"/>
  <c r="F227" i="5"/>
  <c r="D241" i="5"/>
  <c r="B242" i="5"/>
  <c r="B243" i="5" s="1"/>
  <c r="B244" i="5" s="1"/>
  <c r="B245" i="5" s="1"/>
  <c r="B246" i="5" s="1"/>
  <c r="B247" i="5" s="1"/>
  <c r="B248" i="5" s="1"/>
  <c r="B249" i="5" s="1"/>
  <c r="B250" i="5" s="1"/>
  <c r="B251" i="5" s="1"/>
  <c r="B252" i="5" s="1"/>
  <c r="B255" i="5"/>
  <c r="C255" i="5" s="1"/>
  <c r="E255" i="5" s="1"/>
  <c r="A269" i="5"/>
  <c r="P7" i="6"/>
  <c r="F189" i="5" l="1"/>
  <c r="I189" i="5" s="1"/>
  <c r="F202" i="5"/>
  <c r="I202" i="5" s="1"/>
  <c r="F124" i="5"/>
  <c r="I124" i="5" s="1"/>
  <c r="O158" i="5"/>
  <c r="P158" i="5" s="1"/>
  <c r="L172" i="5"/>
  <c r="M172" i="5"/>
  <c r="N172" i="5" s="1"/>
  <c r="F215" i="5"/>
  <c r="I215" i="5" s="1"/>
  <c r="O62" i="5"/>
  <c r="P62" i="5" s="1"/>
  <c r="S185" i="5"/>
  <c r="G186" i="5" s="1"/>
  <c r="H186" i="5" s="1"/>
  <c r="K186" i="5" s="1"/>
  <c r="M76" i="5"/>
  <c r="N76" i="5" s="1"/>
  <c r="L76" i="5"/>
  <c r="L117" i="5"/>
  <c r="M117" i="5"/>
  <c r="N117" i="5" s="1"/>
  <c r="L104" i="5"/>
  <c r="M104" i="5"/>
  <c r="N104" i="5" s="1"/>
  <c r="S130" i="5"/>
  <c r="G131" i="5" s="1"/>
  <c r="H131" i="5" s="1"/>
  <c r="K131" i="5" s="1"/>
  <c r="L213" i="5"/>
  <c r="O213" i="5" s="1"/>
  <c r="F228" i="5"/>
  <c r="I228" i="5" s="1"/>
  <c r="I227" i="5"/>
  <c r="M227" i="5" s="1"/>
  <c r="N227" i="5" s="1"/>
  <c r="Q144" i="5"/>
  <c r="O34" i="5"/>
  <c r="P34" i="5" s="1"/>
  <c r="L7" i="5"/>
  <c r="M7" i="5"/>
  <c r="N7" i="5" s="1"/>
  <c r="P199" i="5"/>
  <c r="F112" i="5"/>
  <c r="I112" i="5" s="1"/>
  <c r="F138" i="5"/>
  <c r="I138" i="5" s="1"/>
  <c r="F151" i="5"/>
  <c r="I151" i="5" s="1"/>
  <c r="F164" i="5"/>
  <c r="I164" i="5" s="1"/>
  <c r="F177" i="5"/>
  <c r="I177" i="5" s="1"/>
  <c r="F190" i="5"/>
  <c r="I190" i="5" s="1"/>
  <c r="G241" i="5"/>
  <c r="H241" i="5" s="1"/>
  <c r="K241" i="5" s="1"/>
  <c r="F241" i="5"/>
  <c r="D255" i="5"/>
  <c r="B256" i="5"/>
  <c r="B257" i="5" s="1"/>
  <c r="B258" i="5" s="1"/>
  <c r="B259" i="5" s="1"/>
  <c r="B260" i="5" s="1"/>
  <c r="B261" i="5" s="1"/>
  <c r="B262" i="5" s="1"/>
  <c r="B263" i="5" s="1"/>
  <c r="B264" i="5" s="1"/>
  <c r="B265" i="5" s="1"/>
  <c r="B266" i="5" s="1"/>
  <c r="B269" i="5"/>
  <c r="C269" i="5" s="1"/>
  <c r="E269" i="5" s="1"/>
  <c r="A283" i="5"/>
  <c r="F203" i="5"/>
  <c r="I203" i="5" s="1"/>
  <c r="M90" i="5"/>
  <c r="N90" i="5" s="1"/>
  <c r="L90" i="5"/>
  <c r="M20" i="5"/>
  <c r="N20" i="5" s="1"/>
  <c r="L20" i="5"/>
  <c r="V20" i="5" s="1"/>
  <c r="R48" i="5"/>
  <c r="Q48" i="5"/>
  <c r="R7" i="6"/>
  <c r="Q7" i="6"/>
  <c r="F125" i="5" l="1"/>
  <c r="I125" i="5" s="1"/>
  <c r="O104" i="5"/>
  <c r="P104" i="5" s="1"/>
  <c r="R104" i="5" s="1"/>
  <c r="O76" i="5"/>
  <c r="P76" i="5" s="1"/>
  <c r="F229" i="5"/>
  <c r="I229" i="5" s="1"/>
  <c r="O172" i="5"/>
  <c r="P172" i="5" s="1"/>
  <c r="Q172" i="5" s="1"/>
  <c r="S172" i="5" s="1"/>
  <c r="G173" i="5" s="1"/>
  <c r="H173" i="5" s="1"/>
  <c r="K173" i="5" s="1"/>
  <c r="F216" i="5"/>
  <c r="I216" i="5" s="1"/>
  <c r="S7" i="6"/>
  <c r="G8" i="6" s="1"/>
  <c r="O117" i="5"/>
  <c r="P117" i="5" s="1"/>
  <c r="M186" i="5"/>
  <c r="N186" i="5" s="1"/>
  <c r="L186" i="5"/>
  <c r="L131" i="5"/>
  <c r="M131" i="5"/>
  <c r="N131" i="5" s="1"/>
  <c r="S48" i="5"/>
  <c r="G49" i="5" s="1"/>
  <c r="H49" i="5" s="1"/>
  <c r="K49" i="5" s="1"/>
  <c r="S144" i="5"/>
  <c r="G145" i="5" s="1"/>
  <c r="H145" i="5" s="1"/>
  <c r="K145" i="5" s="1"/>
  <c r="F242" i="5"/>
  <c r="I242" i="5" s="1"/>
  <c r="I241" i="5"/>
  <c r="M241" i="5" s="1"/>
  <c r="N241" i="5" s="1"/>
  <c r="L227" i="5"/>
  <c r="O227" i="5" s="1"/>
  <c r="P227" i="5" s="1"/>
  <c r="R227" i="5" s="1"/>
  <c r="O7" i="5"/>
  <c r="P7" i="5" s="1"/>
  <c r="P213" i="5"/>
  <c r="R213" i="5" s="1"/>
  <c r="R199" i="5"/>
  <c r="Q199" i="5"/>
  <c r="F126" i="5"/>
  <c r="I126" i="5" s="1"/>
  <c r="F139" i="5"/>
  <c r="I139" i="5" s="1"/>
  <c r="F152" i="5"/>
  <c r="I152" i="5" s="1"/>
  <c r="F165" i="5"/>
  <c r="I165" i="5" s="1"/>
  <c r="F178" i="5"/>
  <c r="I178" i="5" s="1"/>
  <c r="F191" i="5"/>
  <c r="I191" i="5" s="1"/>
  <c r="F230" i="5"/>
  <c r="I230" i="5" s="1"/>
  <c r="G255" i="5"/>
  <c r="H255" i="5" s="1"/>
  <c r="K255" i="5" s="1"/>
  <c r="F255" i="5"/>
  <c r="D269" i="5"/>
  <c r="B270" i="5"/>
  <c r="B271" i="5" s="1"/>
  <c r="B272" i="5" s="1"/>
  <c r="B273" i="5" s="1"/>
  <c r="B274" i="5" s="1"/>
  <c r="B275" i="5" s="1"/>
  <c r="B276" i="5" s="1"/>
  <c r="B277" i="5" s="1"/>
  <c r="B278" i="5" s="1"/>
  <c r="B279" i="5" s="1"/>
  <c r="B280" i="5" s="1"/>
  <c r="B283" i="5"/>
  <c r="C283" i="5" s="1"/>
  <c r="E283" i="5" s="1"/>
  <c r="A297" i="5"/>
  <c r="F204" i="5"/>
  <c r="I204" i="5" s="1"/>
  <c r="H8" i="6"/>
  <c r="O20" i="5"/>
  <c r="O90" i="5"/>
  <c r="Q62" i="5"/>
  <c r="S62" i="5" s="1"/>
  <c r="R62" i="5"/>
  <c r="Q34" i="5"/>
  <c r="R34" i="5"/>
  <c r="Q158" i="5"/>
  <c r="R158" i="5"/>
  <c r="R76" i="5" l="1"/>
  <c r="Q76" i="5"/>
  <c r="S76" i="5" s="1"/>
  <c r="G77" i="5" s="1"/>
  <c r="H77" i="5" s="1"/>
  <c r="K77" i="5" s="1"/>
  <c r="Q104" i="5"/>
  <c r="S104" i="5" s="1"/>
  <c r="G105" i="5" s="1"/>
  <c r="H105" i="5" s="1"/>
  <c r="K105" i="5" s="1"/>
  <c r="R172" i="5"/>
  <c r="F217" i="5"/>
  <c r="I217" i="5" s="1"/>
  <c r="O186" i="5"/>
  <c r="P186" i="5" s="1"/>
  <c r="R186" i="5" s="1"/>
  <c r="Q117" i="5"/>
  <c r="S117" i="5" s="1"/>
  <c r="G118" i="5" s="1"/>
  <c r="H118" i="5" s="1"/>
  <c r="K118" i="5" s="1"/>
  <c r="R117" i="5"/>
  <c r="O131" i="5"/>
  <c r="P131" i="5" s="1"/>
  <c r="R131" i="5" s="1"/>
  <c r="L241" i="5"/>
  <c r="O241" i="5" s="1"/>
  <c r="P241" i="5" s="1"/>
  <c r="S199" i="5"/>
  <c r="G200" i="5" s="1"/>
  <c r="H200" i="5" s="1"/>
  <c r="K200" i="5" s="1"/>
  <c r="M173" i="5"/>
  <c r="N173" i="5" s="1"/>
  <c r="L173" i="5"/>
  <c r="L145" i="5"/>
  <c r="M145" i="5"/>
  <c r="N145" i="5" s="1"/>
  <c r="S34" i="5"/>
  <c r="G35" i="5" s="1"/>
  <c r="H35" i="5" s="1"/>
  <c r="K35" i="5" s="1"/>
  <c r="S158" i="5"/>
  <c r="G159" i="5" s="1"/>
  <c r="H159" i="5" s="1"/>
  <c r="K159" i="5" s="1"/>
  <c r="F243" i="5"/>
  <c r="I243" i="5" s="1"/>
  <c r="G63" i="5"/>
  <c r="H63" i="5" s="1"/>
  <c r="K63" i="5" s="1"/>
  <c r="F256" i="5"/>
  <c r="I256" i="5" s="1"/>
  <c r="I255" i="5"/>
  <c r="M255" i="5" s="1"/>
  <c r="N255" i="5" s="1"/>
  <c r="Q227" i="5"/>
  <c r="Q213" i="5"/>
  <c r="Q7" i="5"/>
  <c r="S7" i="5" s="1"/>
  <c r="R7" i="5"/>
  <c r="F140" i="5"/>
  <c r="I140" i="5" s="1"/>
  <c r="F153" i="5"/>
  <c r="I153" i="5" s="1"/>
  <c r="F166" i="5"/>
  <c r="I166" i="5" s="1"/>
  <c r="F179" i="5"/>
  <c r="I179" i="5" s="1"/>
  <c r="F192" i="5"/>
  <c r="I192" i="5" s="1"/>
  <c r="F231" i="5"/>
  <c r="I231" i="5" s="1"/>
  <c r="G269" i="5"/>
  <c r="H269" i="5" s="1"/>
  <c r="K269" i="5" s="1"/>
  <c r="F269" i="5"/>
  <c r="D283" i="5"/>
  <c r="B284" i="5"/>
  <c r="B285" i="5" s="1"/>
  <c r="B286" i="5" s="1"/>
  <c r="B287" i="5" s="1"/>
  <c r="B288" i="5" s="1"/>
  <c r="B289" i="5" s="1"/>
  <c r="B290" i="5" s="1"/>
  <c r="B291" i="5" s="1"/>
  <c r="B292" i="5" s="1"/>
  <c r="B293" i="5" s="1"/>
  <c r="B294" i="5" s="1"/>
  <c r="B297" i="5"/>
  <c r="C297" i="5" s="1"/>
  <c r="E297" i="5" s="1"/>
  <c r="A311" i="5"/>
  <c r="F205" i="5"/>
  <c r="I205" i="5" s="1"/>
  <c r="M49" i="5"/>
  <c r="N49" i="5" s="1"/>
  <c r="L49" i="5"/>
  <c r="M8" i="6"/>
  <c r="N8" i="6" s="1"/>
  <c r="K8" i="6"/>
  <c r="L8" i="6" s="1"/>
  <c r="P20" i="5"/>
  <c r="P90" i="5"/>
  <c r="L105" i="5" l="1"/>
  <c r="O173" i="5"/>
  <c r="P173" i="5" s="1"/>
  <c r="R173" i="5" s="1"/>
  <c r="M105" i="5"/>
  <c r="N105" i="5" s="1"/>
  <c r="O145" i="5"/>
  <c r="P145" i="5" s="1"/>
  <c r="Q186" i="5"/>
  <c r="S186" i="5" s="1"/>
  <c r="G187" i="5" s="1"/>
  <c r="H187" i="5" s="1"/>
  <c r="K187" i="5" s="1"/>
  <c r="F218" i="5"/>
  <c r="I218" i="5" s="1"/>
  <c r="F244" i="5"/>
  <c r="I244" i="5" s="1"/>
  <c r="L200" i="5"/>
  <c r="M200" i="5"/>
  <c r="N200" i="5" s="1"/>
  <c r="S227" i="5"/>
  <c r="G228" i="5" s="1"/>
  <c r="H228" i="5" s="1"/>
  <c r="K228" i="5" s="1"/>
  <c r="S213" i="5"/>
  <c r="G214" i="5" s="1"/>
  <c r="H214" i="5" s="1"/>
  <c r="K214" i="5" s="1"/>
  <c r="L118" i="5"/>
  <c r="M118" i="5"/>
  <c r="N118" i="5" s="1"/>
  <c r="F257" i="5"/>
  <c r="I257" i="5" s="1"/>
  <c r="G8" i="5"/>
  <c r="H8" i="5" s="1"/>
  <c r="K8" i="5" s="1"/>
  <c r="F270" i="5"/>
  <c r="I270" i="5" s="1"/>
  <c r="I269" i="5"/>
  <c r="M269" i="5" s="1"/>
  <c r="N269" i="5" s="1"/>
  <c r="L255" i="5"/>
  <c r="O255" i="5" s="1"/>
  <c r="P255" i="5" s="1"/>
  <c r="Q255" i="5" s="1"/>
  <c r="Q131" i="5"/>
  <c r="Q241" i="5"/>
  <c r="R241" i="5"/>
  <c r="R90" i="5"/>
  <c r="Q90" i="5"/>
  <c r="F154" i="5"/>
  <c r="I154" i="5" s="1"/>
  <c r="F167" i="5"/>
  <c r="I167" i="5" s="1"/>
  <c r="F180" i="5"/>
  <c r="I180" i="5" s="1"/>
  <c r="F193" i="5"/>
  <c r="I193" i="5" s="1"/>
  <c r="F232" i="5"/>
  <c r="I232" i="5" s="1"/>
  <c r="G283" i="5"/>
  <c r="H283" i="5" s="1"/>
  <c r="K283" i="5" s="1"/>
  <c r="F283" i="5"/>
  <c r="D297" i="5"/>
  <c r="B298" i="5"/>
  <c r="B299" i="5" s="1"/>
  <c r="B300" i="5" s="1"/>
  <c r="B301" i="5" s="1"/>
  <c r="B302" i="5" s="1"/>
  <c r="B303" i="5" s="1"/>
  <c r="B304" i="5" s="1"/>
  <c r="B305" i="5" s="1"/>
  <c r="B306" i="5" s="1"/>
  <c r="B307" i="5" s="1"/>
  <c r="B308" i="5" s="1"/>
  <c r="B311" i="5"/>
  <c r="C311" i="5" s="1"/>
  <c r="E311" i="5" s="1"/>
  <c r="A325" i="5"/>
  <c r="F206" i="5"/>
  <c r="I206" i="5" s="1"/>
  <c r="M63" i="5"/>
  <c r="N63" i="5" s="1"/>
  <c r="L63" i="5"/>
  <c r="M35" i="5"/>
  <c r="N35" i="5" s="1"/>
  <c r="L35" i="5"/>
  <c r="M77" i="5"/>
  <c r="N77" i="5" s="1"/>
  <c r="L77" i="5"/>
  <c r="L159" i="5"/>
  <c r="M159" i="5"/>
  <c r="N159" i="5" s="1"/>
  <c r="O49" i="5"/>
  <c r="O8" i="6"/>
  <c r="R20" i="5"/>
  <c r="Q20" i="5"/>
  <c r="S20" i="5" s="1"/>
  <c r="F219" i="5" l="1"/>
  <c r="I219" i="5" s="1"/>
  <c r="O105" i="5"/>
  <c r="P105" i="5" s="1"/>
  <c r="Q105" i="5" s="1"/>
  <c r="S105" i="5" s="1"/>
  <c r="G106" i="5" s="1"/>
  <c r="H106" i="5" s="1"/>
  <c r="K106" i="5" s="1"/>
  <c r="M214" i="5"/>
  <c r="N214" i="5" s="1"/>
  <c r="L214" i="5"/>
  <c r="O214" i="5" s="1"/>
  <c r="P214" i="5" s="1"/>
  <c r="R145" i="5"/>
  <c r="Q173" i="5"/>
  <c r="Q145" i="5"/>
  <c r="S145" i="5" s="1"/>
  <c r="G146" i="5" s="1"/>
  <c r="H146" i="5" s="1"/>
  <c r="K146" i="5" s="1"/>
  <c r="O200" i="5"/>
  <c r="P200" i="5" s="1"/>
  <c r="R200" i="5" s="1"/>
  <c r="F258" i="5"/>
  <c r="I258" i="5" s="1"/>
  <c r="F245" i="5"/>
  <c r="I245" i="5" s="1"/>
  <c r="O118" i="5"/>
  <c r="P118" i="5" s="1"/>
  <c r="L228" i="5"/>
  <c r="M228" i="5"/>
  <c r="N228" i="5" s="1"/>
  <c r="S241" i="5"/>
  <c r="G242" i="5" s="1"/>
  <c r="H242" i="5" s="1"/>
  <c r="K242" i="5" s="1"/>
  <c r="S255" i="5"/>
  <c r="G256" i="5" s="1"/>
  <c r="H256" i="5" s="1"/>
  <c r="K256" i="5" s="1"/>
  <c r="L187" i="5"/>
  <c r="M187" i="5"/>
  <c r="N187" i="5" s="1"/>
  <c r="S90" i="5"/>
  <c r="G91" i="5" s="1"/>
  <c r="H91" i="5" s="1"/>
  <c r="K91" i="5" s="1"/>
  <c r="S131" i="5"/>
  <c r="G132" i="5" s="1"/>
  <c r="H132" i="5" s="1"/>
  <c r="K132" i="5" s="1"/>
  <c r="S173" i="5"/>
  <c r="G174" i="5" s="1"/>
  <c r="H174" i="5" s="1"/>
  <c r="K174" i="5" s="1"/>
  <c r="F271" i="5"/>
  <c r="I271" i="5" s="1"/>
  <c r="L8" i="5"/>
  <c r="M8" i="5"/>
  <c r="N8" i="5" s="1"/>
  <c r="F284" i="5"/>
  <c r="I284" i="5" s="1"/>
  <c r="I283" i="5"/>
  <c r="M283" i="5" s="1"/>
  <c r="N283" i="5" s="1"/>
  <c r="L269" i="5"/>
  <c r="O269" i="5" s="1"/>
  <c r="P269" i="5" s="1"/>
  <c r="R269" i="5" s="1"/>
  <c r="R255" i="5"/>
  <c r="G21" i="5"/>
  <c r="H21" i="5" s="1"/>
  <c r="K21" i="5" s="1"/>
  <c r="O159" i="5"/>
  <c r="F168" i="5"/>
  <c r="I168" i="5" s="1"/>
  <c r="F181" i="5"/>
  <c r="I181" i="5" s="1"/>
  <c r="F194" i="5"/>
  <c r="I194" i="5" s="1"/>
  <c r="F220" i="5"/>
  <c r="I220" i="5" s="1"/>
  <c r="F233" i="5"/>
  <c r="I233" i="5" s="1"/>
  <c r="G297" i="5"/>
  <c r="H297" i="5" s="1"/>
  <c r="K297" i="5" s="1"/>
  <c r="F297" i="5"/>
  <c r="D311" i="5"/>
  <c r="B312" i="5"/>
  <c r="B313" i="5" s="1"/>
  <c r="B314" i="5" s="1"/>
  <c r="B315" i="5" s="1"/>
  <c r="B316" i="5" s="1"/>
  <c r="B317" i="5" s="1"/>
  <c r="B318" i="5" s="1"/>
  <c r="B319" i="5" s="1"/>
  <c r="B320" i="5" s="1"/>
  <c r="B321" i="5" s="1"/>
  <c r="B322" i="5" s="1"/>
  <c r="B325" i="5"/>
  <c r="C325" i="5" s="1"/>
  <c r="E325" i="5" s="1"/>
  <c r="A339" i="5"/>
  <c r="F207" i="5"/>
  <c r="I207" i="5" s="1"/>
  <c r="P49" i="5"/>
  <c r="P8" i="6"/>
  <c r="O63" i="5"/>
  <c r="O35" i="5"/>
  <c r="O77" i="5"/>
  <c r="L146" i="5" l="1"/>
  <c r="M146" i="5"/>
  <c r="N146" i="5" s="1"/>
  <c r="F259" i="5"/>
  <c r="I259" i="5" s="1"/>
  <c r="F246" i="5"/>
  <c r="I246" i="5" s="1"/>
  <c r="R105" i="5"/>
  <c r="Q118" i="5"/>
  <c r="S118" i="5" s="1"/>
  <c r="G119" i="5" s="1"/>
  <c r="H119" i="5" s="1"/>
  <c r="K119" i="5" s="1"/>
  <c r="F285" i="5"/>
  <c r="I285" i="5" s="1"/>
  <c r="R118" i="5"/>
  <c r="O8" i="5"/>
  <c r="P8" i="5" s="1"/>
  <c r="Q8" i="5" s="1"/>
  <c r="S8" i="5" s="1"/>
  <c r="O228" i="5"/>
  <c r="P228" i="5" s="1"/>
  <c r="Q228" i="5" s="1"/>
  <c r="S228" i="5" s="1"/>
  <c r="G229" i="5" s="1"/>
  <c r="H229" i="5" s="1"/>
  <c r="K229" i="5" s="1"/>
  <c r="O187" i="5"/>
  <c r="P187" i="5" s="1"/>
  <c r="R187" i="5" s="1"/>
  <c r="L242" i="5"/>
  <c r="M242" i="5"/>
  <c r="N242" i="5" s="1"/>
  <c r="F272" i="5"/>
  <c r="I272" i="5" s="1"/>
  <c r="M174" i="5"/>
  <c r="N174" i="5" s="1"/>
  <c r="L174" i="5"/>
  <c r="L132" i="5"/>
  <c r="M132" i="5"/>
  <c r="N132" i="5" s="1"/>
  <c r="M91" i="5"/>
  <c r="N91" i="5" s="1"/>
  <c r="L91" i="5"/>
  <c r="L106" i="5"/>
  <c r="M106" i="5"/>
  <c r="N106" i="5" s="1"/>
  <c r="L283" i="5"/>
  <c r="O283" i="5" s="1"/>
  <c r="P283" i="5" s="1"/>
  <c r="Q283" i="5" s="1"/>
  <c r="F298" i="5"/>
  <c r="I298" i="5" s="1"/>
  <c r="I297" i="5"/>
  <c r="M297" i="5" s="1"/>
  <c r="N297" i="5" s="1"/>
  <c r="Q269" i="5"/>
  <c r="Q200" i="5"/>
  <c r="R214" i="5"/>
  <c r="Q214" i="5"/>
  <c r="P159" i="5"/>
  <c r="F182" i="5"/>
  <c r="I182" i="5" s="1"/>
  <c r="F195" i="5"/>
  <c r="I195" i="5" s="1"/>
  <c r="F221" i="5"/>
  <c r="I221" i="5" s="1"/>
  <c r="F234" i="5"/>
  <c r="I234" i="5" s="1"/>
  <c r="F260" i="5"/>
  <c r="I260" i="5" s="1"/>
  <c r="F286" i="5"/>
  <c r="I286" i="5" s="1"/>
  <c r="G311" i="5"/>
  <c r="H311" i="5" s="1"/>
  <c r="K311" i="5" s="1"/>
  <c r="F311" i="5"/>
  <c r="D325" i="5"/>
  <c r="B326" i="5"/>
  <c r="B327" i="5" s="1"/>
  <c r="B328" i="5" s="1"/>
  <c r="B329" i="5" s="1"/>
  <c r="B330" i="5" s="1"/>
  <c r="B331" i="5" s="1"/>
  <c r="B332" i="5" s="1"/>
  <c r="B333" i="5" s="1"/>
  <c r="B334" i="5" s="1"/>
  <c r="B335" i="5" s="1"/>
  <c r="B336" i="5" s="1"/>
  <c r="B339" i="5"/>
  <c r="C339" i="5" s="1"/>
  <c r="E339" i="5" s="1"/>
  <c r="A353" i="5"/>
  <c r="F208" i="5"/>
  <c r="I208" i="5" s="1"/>
  <c r="M21" i="5"/>
  <c r="N21" i="5" s="1"/>
  <c r="L21" i="5"/>
  <c r="V21" i="5" s="1"/>
  <c r="P63" i="5"/>
  <c r="P35" i="5"/>
  <c r="P77" i="5"/>
  <c r="L256" i="5"/>
  <c r="M256" i="5"/>
  <c r="N256" i="5" s="1"/>
  <c r="Q49" i="5"/>
  <c r="R49" i="5"/>
  <c r="R8" i="6"/>
  <c r="Q8" i="6"/>
  <c r="S8" i="6" s="1"/>
  <c r="G9" i="6" s="1"/>
  <c r="O146" i="5" l="1"/>
  <c r="P146" i="5" s="1"/>
  <c r="R146" i="5" s="1"/>
  <c r="F247" i="5"/>
  <c r="I247" i="5" s="1"/>
  <c r="R228" i="5"/>
  <c r="F273" i="5"/>
  <c r="I273" i="5" s="1"/>
  <c r="R8" i="5"/>
  <c r="O242" i="5"/>
  <c r="P242" i="5" s="1"/>
  <c r="Q187" i="5"/>
  <c r="S187" i="5" s="1"/>
  <c r="G188" i="5" s="1"/>
  <c r="H188" i="5" s="1"/>
  <c r="K188" i="5" s="1"/>
  <c r="O91" i="5"/>
  <c r="P91" i="5" s="1"/>
  <c r="O106" i="5"/>
  <c r="P106" i="5" s="1"/>
  <c r="Q106" i="5" s="1"/>
  <c r="S106" i="5" s="1"/>
  <c r="G107" i="5" s="1"/>
  <c r="H107" i="5" s="1"/>
  <c r="K107" i="5" s="1"/>
  <c r="O132" i="5"/>
  <c r="P132" i="5" s="1"/>
  <c r="S269" i="5"/>
  <c r="G270" i="5" s="1"/>
  <c r="H270" i="5" s="1"/>
  <c r="K270" i="5" s="1"/>
  <c r="L297" i="5"/>
  <c r="O297" i="5" s="1"/>
  <c r="S283" i="5"/>
  <c r="G284" i="5" s="1"/>
  <c r="H284" i="5" s="1"/>
  <c r="K284" i="5" s="1"/>
  <c r="O174" i="5"/>
  <c r="L119" i="5"/>
  <c r="M119" i="5"/>
  <c r="N119" i="5" s="1"/>
  <c r="L229" i="5"/>
  <c r="M229" i="5"/>
  <c r="N229" i="5" s="1"/>
  <c r="S49" i="5"/>
  <c r="G50" i="5" s="1"/>
  <c r="H50" i="5" s="1"/>
  <c r="K50" i="5" s="1"/>
  <c r="S200" i="5"/>
  <c r="G201" i="5" s="1"/>
  <c r="H201" i="5" s="1"/>
  <c r="K201" i="5" s="1"/>
  <c r="S214" i="5"/>
  <c r="G215" i="5" s="1"/>
  <c r="H215" i="5" s="1"/>
  <c r="K215" i="5" s="1"/>
  <c r="F299" i="5"/>
  <c r="I299" i="5" s="1"/>
  <c r="G9" i="5"/>
  <c r="H9" i="5" s="1"/>
  <c r="K9" i="5" s="1"/>
  <c r="F312" i="5"/>
  <c r="I312" i="5" s="1"/>
  <c r="I311" i="5"/>
  <c r="M311" i="5" s="1"/>
  <c r="N311" i="5" s="1"/>
  <c r="R283" i="5"/>
  <c r="Q159" i="5"/>
  <c r="R159" i="5"/>
  <c r="O256" i="5"/>
  <c r="P256" i="5" s="1"/>
  <c r="F196" i="5"/>
  <c r="I196" i="5" s="1"/>
  <c r="F222" i="5"/>
  <c r="I222" i="5" s="1"/>
  <c r="F235" i="5"/>
  <c r="I235" i="5" s="1"/>
  <c r="F248" i="5"/>
  <c r="I248" i="5" s="1"/>
  <c r="F261" i="5"/>
  <c r="I261" i="5" s="1"/>
  <c r="F287" i="5"/>
  <c r="I287" i="5" s="1"/>
  <c r="G325" i="5"/>
  <c r="H325" i="5" s="1"/>
  <c r="K325" i="5" s="1"/>
  <c r="F325" i="5"/>
  <c r="D339" i="5"/>
  <c r="B340" i="5"/>
  <c r="B341" i="5" s="1"/>
  <c r="B342" i="5" s="1"/>
  <c r="B343" i="5" s="1"/>
  <c r="B344" i="5" s="1"/>
  <c r="B345" i="5" s="1"/>
  <c r="B346" i="5" s="1"/>
  <c r="B347" i="5" s="1"/>
  <c r="B348" i="5" s="1"/>
  <c r="B349" i="5" s="1"/>
  <c r="B350" i="5" s="1"/>
  <c r="B353" i="5"/>
  <c r="C353" i="5" s="1"/>
  <c r="E353" i="5" s="1"/>
  <c r="A367" i="5"/>
  <c r="F209" i="5"/>
  <c r="I209" i="5" s="1"/>
  <c r="H9" i="6"/>
  <c r="O21" i="5"/>
  <c r="R63" i="5"/>
  <c r="Q63" i="5"/>
  <c r="S63" i="5" s="1"/>
  <c r="R35" i="5"/>
  <c r="Q35" i="5"/>
  <c r="R77" i="5"/>
  <c r="Q77" i="5"/>
  <c r="F274" i="5" l="1"/>
  <c r="I274" i="5" s="1"/>
  <c r="Q146" i="5"/>
  <c r="S146" i="5" s="1"/>
  <c r="G147" i="5" s="1"/>
  <c r="H147" i="5" s="1"/>
  <c r="K147" i="5" s="1"/>
  <c r="L284" i="5"/>
  <c r="Q242" i="5"/>
  <c r="S242" i="5" s="1"/>
  <c r="G243" i="5" s="1"/>
  <c r="H243" i="5" s="1"/>
  <c r="K243" i="5" s="1"/>
  <c r="R242" i="5"/>
  <c r="F300" i="5"/>
  <c r="I300" i="5" s="1"/>
  <c r="R106" i="5"/>
  <c r="Q132" i="5"/>
  <c r="S132" i="5" s="1"/>
  <c r="G133" i="5" s="1"/>
  <c r="H133" i="5" s="1"/>
  <c r="K133" i="5" s="1"/>
  <c r="R132" i="5"/>
  <c r="O119" i="5"/>
  <c r="P119" i="5" s="1"/>
  <c r="L270" i="5"/>
  <c r="M270" i="5"/>
  <c r="N270" i="5" s="1"/>
  <c r="L311" i="5"/>
  <c r="O311" i="5" s="1"/>
  <c r="M284" i="5"/>
  <c r="N284" i="5" s="1"/>
  <c r="O229" i="5"/>
  <c r="P229" i="5" s="1"/>
  <c r="P174" i="5"/>
  <c r="R174" i="5" s="1"/>
  <c r="L147" i="5"/>
  <c r="M201" i="5"/>
  <c r="N201" i="5" s="1"/>
  <c r="L201" i="5"/>
  <c r="L215" i="5"/>
  <c r="M215" i="5"/>
  <c r="N215" i="5" s="1"/>
  <c r="L188" i="5"/>
  <c r="M188" i="5"/>
  <c r="N188" i="5" s="1"/>
  <c r="S35" i="5"/>
  <c r="G36" i="5" s="1"/>
  <c r="H36" i="5" s="1"/>
  <c r="K36" i="5" s="1"/>
  <c r="S77" i="5"/>
  <c r="G78" i="5" s="1"/>
  <c r="H78" i="5" s="1"/>
  <c r="K78" i="5" s="1"/>
  <c r="S159" i="5"/>
  <c r="G160" i="5" s="1"/>
  <c r="H160" i="5" s="1"/>
  <c r="K160" i="5" s="1"/>
  <c r="F313" i="5"/>
  <c r="I313" i="5" s="1"/>
  <c r="M9" i="5"/>
  <c r="N9" i="5" s="1"/>
  <c r="L9" i="5"/>
  <c r="G64" i="5"/>
  <c r="H64" i="5" s="1"/>
  <c r="K64" i="5" s="1"/>
  <c r="F326" i="5"/>
  <c r="I326" i="5" s="1"/>
  <c r="I325" i="5"/>
  <c r="M325" i="5" s="1"/>
  <c r="N325" i="5" s="1"/>
  <c r="P297" i="5"/>
  <c r="R297" i="5" s="1"/>
  <c r="F223" i="5"/>
  <c r="I223" i="5" s="1"/>
  <c r="F236" i="5"/>
  <c r="I236" i="5" s="1"/>
  <c r="F249" i="5"/>
  <c r="I249" i="5" s="1"/>
  <c r="F262" i="5"/>
  <c r="I262" i="5" s="1"/>
  <c r="F275" i="5"/>
  <c r="I275" i="5" s="1"/>
  <c r="F288" i="5"/>
  <c r="I288" i="5" s="1"/>
  <c r="G339" i="5"/>
  <c r="H339" i="5" s="1"/>
  <c r="K339" i="5" s="1"/>
  <c r="F339" i="5"/>
  <c r="D353" i="5"/>
  <c r="B354" i="5"/>
  <c r="B355" i="5" s="1"/>
  <c r="B356" i="5" s="1"/>
  <c r="B357" i="5" s="1"/>
  <c r="B358" i="5" s="1"/>
  <c r="B359" i="5" s="1"/>
  <c r="B360" i="5" s="1"/>
  <c r="B361" i="5" s="1"/>
  <c r="B362" i="5" s="1"/>
  <c r="B363" i="5" s="1"/>
  <c r="B364" i="5" s="1"/>
  <c r="B367" i="5"/>
  <c r="C367" i="5" s="1"/>
  <c r="E367" i="5" s="1"/>
  <c r="A381" i="5"/>
  <c r="F210" i="5"/>
  <c r="I210" i="5" s="1"/>
  <c r="M107" i="5"/>
  <c r="N107" i="5" s="1"/>
  <c r="L107" i="5"/>
  <c r="M50" i="5"/>
  <c r="N50" i="5" s="1"/>
  <c r="L50" i="5"/>
  <c r="M9" i="6"/>
  <c r="N9" i="6" s="1"/>
  <c r="K9" i="6"/>
  <c r="L9" i="6" s="1"/>
  <c r="P21" i="5"/>
  <c r="R256" i="5"/>
  <c r="Q256" i="5"/>
  <c r="R91" i="5"/>
  <c r="Q91" i="5"/>
  <c r="M147" i="5" l="1"/>
  <c r="N147" i="5" s="1"/>
  <c r="O284" i="5"/>
  <c r="P284" i="5" s="1"/>
  <c r="F301" i="5"/>
  <c r="I301" i="5" s="1"/>
  <c r="F327" i="5"/>
  <c r="I327" i="5" s="1"/>
  <c r="F314" i="5"/>
  <c r="I314" i="5" s="1"/>
  <c r="Q119" i="5"/>
  <c r="S119" i="5" s="1"/>
  <c r="G120" i="5" s="1"/>
  <c r="H120" i="5" s="1"/>
  <c r="K120" i="5" s="1"/>
  <c r="R119" i="5"/>
  <c r="O188" i="5"/>
  <c r="P188" i="5" s="1"/>
  <c r="R188" i="5" s="1"/>
  <c r="O201" i="5"/>
  <c r="P201" i="5" s="1"/>
  <c r="R201" i="5" s="1"/>
  <c r="Q174" i="5"/>
  <c r="S174" i="5" s="1"/>
  <c r="G175" i="5" s="1"/>
  <c r="H175" i="5" s="1"/>
  <c r="K175" i="5" s="1"/>
  <c r="Q229" i="5"/>
  <c r="S229" i="5" s="1"/>
  <c r="G230" i="5" s="1"/>
  <c r="H230" i="5" s="1"/>
  <c r="K230" i="5" s="1"/>
  <c r="O215" i="5"/>
  <c r="P215" i="5" s="1"/>
  <c r="O147" i="5"/>
  <c r="P147" i="5" s="1"/>
  <c r="R229" i="5"/>
  <c r="O270" i="5"/>
  <c r="L325" i="5"/>
  <c r="O325" i="5" s="1"/>
  <c r="P325" i="5" s="1"/>
  <c r="O9" i="5"/>
  <c r="P9" i="5" s="1"/>
  <c r="M160" i="5"/>
  <c r="N160" i="5" s="1"/>
  <c r="L160" i="5"/>
  <c r="M133" i="5"/>
  <c r="N133" i="5" s="1"/>
  <c r="L133" i="5"/>
  <c r="S91" i="5"/>
  <c r="G92" i="5" s="1"/>
  <c r="H92" i="5" s="1"/>
  <c r="K92" i="5" s="1"/>
  <c r="S256" i="5"/>
  <c r="G257" i="5" s="1"/>
  <c r="H257" i="5" s="1"/>
  <c r="K257" i="5" s="1"/>
  <c r="F340" i="5"/>
  <c r="I340" i="5" s="1"/>
  <c r="I339" i="5"/>
  <c r="M339" i="5" s="1"/>
  <c r="N339" i="5" s="1"/>
  <c r="Q297" i="5"/>
  <c r="O9" i="6"/>
  <c r="P9" i="6" s="1"/>
  <c r="Q9" i="6" s="1"/>
  <c r="S9" i="6" s="1"/>
  <c r="G10" i="6" s="1"/>
  <c r="F224" i="5"/>
  <c r="I224" i="5" s="1"/>
  <c r="F237" i="5"/>
  <c r="I237" i="5" s="1"/>
  <c r="F250" i="5"/>
  <c r="I250" i="5" s="1"/>
  <c r="F263" i="5"/>
  <c r="I263" i="5" s="1"/>
  <c r="F276" i="5"/>
  <c r="I276" i="5" s="1"/>
  <c r="F289" i="5"/>
  <c r="I289" i="5" s="1"/>
  <c r="G353" i="5"/>
  <c r="H353" i="5" s="1"/>
  <c r="K353" i="5" s="1"/>
  <c r="F353" i="5"/>
  <c r="D367" i="5"/>
  <c r="B368" i="5"/>
  <c r="B369" i="5" s="1"/>
  <c r="B370" i="5" s="1"/>
  <c r="B371" i="5" s="1"/>
  <c r="B372" i="5" s="1"/>
  <c r="B373" i="5" s="1"/>
  <c r="B374" i="5" s="1"/>
  <c r="B375" i="5" s="1"/>
  <c r="B376" i="5" s="1"/>
  <c r="B377" i="5" s="1"/>
  <c r="B378" i="5" s="1"/>
  <c r="B381" i="5"/>
  <c r="C381" i="5" s="1"/>
  <c r="E381" i="5" s="1"/>
  <c r="A395" i="5"/>
  <c r="L243" i="5"/>
  <c r="M243" i="5"/>
  <c r="N243" i="5" s="1"/>
  <c r="M64" i="5"/>
  <c r="N64" i="5" s="1"/>
  <c r="L64" i="5"/>
  <c r="M36" i="5"/>
  <c r="N36" i="5" s="1"/>
  <c r="L36" i="5"/>
  <c r="M78" i="5"/>
  <c r="N78" i="5" s="1"/>
  <c r="L78" i="5"/>
  <c r="P311" i="5"/>
  <c r="O107" i="5"/>
  <c r="O50" i="5"/>
  <c r="R21" i="5"/>
  <c r="Q21" i="5"/>
  <c r="R284" i="5"/>
  <c r="Q284" i="5"/>
  <c r="F328" i="5" l="1"/>
  <c r="I328" i="5" s="1"/>
  <c r="L175" i="5"/>
  <c r="L120" i="5"/>
  <c r="F302" i="5"/>
  <c r="I302" i="5" s="1"/>
  <c r="F315" i="5"/>
  <c r="I315" i="5" s="1"/>
  <c r="F341" i="5"/>
  <c r="I341" i="5" s="1"/>
  <c r="Q188" i="5"/>
  <c r="S188" i="5" s="1"/>
  <c r="G189" i="5" s="1"/>
  <c r="H189" i="5" s="1"/>
  <c r="K189" i="5" s="1"/>
  <c r="Q201" i="5"/>
  <c r="S201" i="5" s="1"/>
  <c r="G202" i="5" s="1"/>
  <c r="H202" i="5" s="1"/>
  <c r="K202" i="5" s="1"/>
  <c r="M175" i="5"/>
  <c r="N175" i="5" s="1"/>
  <c r="L339" i="5"/>
  <c r="O339" i="5" s="1"/>
  <c r="P339" i="5" s="1"/>
  <c r="Q339" i="5" s="1"/>
  <c r="P270" i="5"/>
  <c r="Q270" i="5" s="1"/>
  <c r="S270" i="5" s="1"/>
  <c r="G271" i="5" s="1"/>
  <c r="H271" i="5" s="1"/>
  <c r="K271" i="5" s="1"/>
  <c r="O133" i="5"/>
  <c r="P133" i="5" s="1"/>
  <c r="O160" i="5"/>
  <c r="P160" i="5" s="1"/>
  <c r="Q160" i="5" s="1"/>
  <c r="M120" i="5"/>
  <c r="N120" i="5" s="1"/>
  <c r="S297" i="5"/>
  <c r="G298" i="5" s="1"/>
  <c r="H298" i="5" s="1"/>
  <c r="K298" i="5" s="1"/>
  <c r="S284" i="5"/>
  <c r="G285" i="5" s="1"/>
  <c r="H285" i="5" s="1"/>
  <c r="K285" i="5" s="1"/>
  <c r="S21" i="5"/>
  <c r="G22" i="5" s="1"/>
  <c r="H22" i="5" s="1"/>
  <c r="K22" i="5" s="1"/>
  <c r="F354" i="5"/>
  <c r="I354" i="5" s="1"/>
  <c r="I353" i="5"/>
  <c r="M353" i="5" s="1"/>
  <c r="N353" i="5" s="1"/>
  <c r="R9" i="6"/>
  <c r="O243" i="5"/>
  <c r="P243" i="5" s="1"/>
  <c r="Q9" i="5"/>
  <c r="S9" i="5" s="1"/>
  <c r="R9" i="5"/>
  <c r="Q325" i="5"/>
  <c r="R325" i="5"/>
  <c r="Q215" i="5"/>
  <c r="R215" i="5"/>
  <c r="F238" i="5"/>
  <c r="I238" i="5" s="1"/>
  <c r="F251" i="5"/>
  <c r="I251" i="5" s="1"/>
  <c r="F264" i="5"/>
  <c r="I264" i="5" s="1"/>
  <c r="F277" i="5"/>
  <c r="I277" i="5" s="1"/>
  <c r="F290" i="5"/>
  <c r="I290" i="5" s="1"/>
  <c r="F329" i="5"/>
  <c r="I329" i="5" s="1"/>
  <c r="G367" i="5"/>
  <c r="H367" i="5" s="1"/>
  <c r="K367" i="5" s="1"/>
  <c r="F367" i="5"/>
  <c r="D381" i="5"/>
  <c r="B382" i="5"/>
  <c r="B383" i="5" s="1"/>
  <c r="B384" i="5" s="1"/>
  <c r="B385" i="5" s="1"/>
  <c r="B386" i="5" s="1"/>
  <c r="B387" i="5" s="1"/>
  <c r="B388" i="5" s="1"/>
  <c r="B389" i="5" s="1"/>
  <c r="B390" i="5" s="1"/>
  <c r="B391" i="5" s="1"/>
  <c r="B392" i="5" s="1"/>
  <c r="B395" i="5"/>
  <c r="C395" i="5" s="1"/>
  <c r="E395" i="5" s="1"/>
  <c r="A409" i="5"/>
  <c r="H10" i="6"/>
  <c r="M230" i="5"/>
  <c r="N230" i="5" s="1"/>
  <c r="L230" i="5"/>
  <c r="L257" i="5"/>
  <c r="M257" i="5"/>
  <c r="N257" i="5" s="1"/>
  <c r="M92" i="5"/>
  <c r="N92" i="5" s="1"/>
  <c r="L92" i="5"/>
  <c r="P107" i="5"/>
  <c r="P50" i="5"/>
  <c r="O64" i="5"/>
  <c r="O36" i="5"/>
  <c r="O78" i="5"/>
  <c r="R311" i="5"/>
  <c r="Q311" i="5"/>
  <c r="R147" i="5"/>
  <c r="Q147" i="5"/>
  <c r="F303" i="5" l="1"/>
  <c r="I303" i="5" s="1"/>
  <c r="O120" i="5"/>
  <c r="P120" i="5" s="1"/>
  <c r="O175" i="5"/>
  <c r="P175" i="5" s="1"/>
  <c r="Q175" i="5" s="1"/>
  <c r="S175" i="5" s="1"/>
  <c r="G176" i="5" s="1"/>
  <c r="H176" i="5" s="1"/>
  <c r="K176" i="5" s="1"/>
  <c r="F316" i="5"/>
  <c r="I316" i="5" s="1"/>
  <c r="F342" i="5"/>
  <c r="I342" i="5" s="1"/>
  <c r="L353" i="5"/>
  <c r="R270" i="5"/>
  <c r="M271" i="5"/>
  <c r="N271" i="5" s="1"/>
  <c r="L271" i="5"/>
  <c r="L298" i="5"/>
  <c r="M298" i="5"/>
  <c r="N298" i="5" s="1"/>
  <c r="S339" i="5"/>
  <c r="G340" i="5" s="1"/>
  <c r="H340" i="5" s="1"/>
  <c r="K340" i="5" s="1"/>
  <c r="F355" i="5"/>
  <c r="I355" i="5" s="1"/>
  <c r="S325" i="5"/>
  <c r="G326" i="5" s="1"/>
  <c r="H326" i="5" s="1"/>
  <c r="K326" i="5" s="1"/>
  <c r="S311" i="5"/>
  <c r="G312" i="5" s="1"/>
  <c r="H312" i="5" s="1"/>
  <c r="K312" i="5" s="1"/>
  <c r="M202" i="5"/>
  <c r="N202" i="5" s="1"/>
  <c r="L202" i="5"/>
  <c r="M189" i="5"/>
  <c r="N189" i="5" s="1"/>
  <c r="L189" i="5"/>
  <c r="S147" i="5"/>
  <c r="G148" i="5" s="1"/>
  <c r="H148" i="5" s="1"/>
  <c r="K148" i="5" s="1"/>
  <c r="S160" i="5"/>
  <c r="G161" i="5" s="1"/>
  <c r="H161" i="5" s="1"/>
  <c r="K161" i="5" s="1"/>
  <c r="S215" i="5"/>
  <c r="G216" i="5" s="1"/>
  <c r="H216" i="5" s="1"/>
  <c r="K216" i="5" s="1"/>
  <c r="G10" i="5"/>
  <c r="H10" i="5" s="1"/>
  <c r="K10" i="5" s="1"/>
  <c r="F368" i="5"/>
  <c r="I368" i="5" s="1"/>
  <c r="I367" i="5"/>
  <c r="M367" i="5" s="1"/>
  <c r="N367" i="5" s="1"/>
  <c r="R160" i="5"/>
  <c r="O92" i="5"/>
  <c r="P92" i="5" s="1"/>
  <c r="Q92" i="5" s="1"/>
  <c r="R339" i="5"/>
  <c r="O257" i="5"/>
  <c r="P257" i="5" s="1"/>
  <c r="O353" i="5"/>
  <c r="P353" i="5" s="1"/>
  <c r="R353" i="5" s="1"/>
  <c r="Q133" i="5"/>
  <c r="R133" i="5"/>
  <c r="R120" i="5"/>
  <c r="Q243" i="5"/>
  <c r="R243" i="5"/>
  <c r="F252" i="5"/>
  <c r="I252" i="5" s="1"/>
  <c r="F265" i="5"/>
  <c r="I265" i="5" s="1"/>
  <c r="F278" i="5"/>
  <c r="I278" i="5" s="1"/>
  <c r="F291" i="5"/>
  <c r="I291" i="5" s="1"/>
  <c r="F304" i="5"/>
  <c r="I304" i="5" s="1"/>
  <c r="F330" i="5"/>
  <c r="I330" i="5" s="1"/>
  <c r="G381" i="5"/>
  <c r="H381" i="5" s="1"/>
  <c r="K381" i="5" s="1"/>
  <c r="F381" i="5"/>
  <c r="D395" i="5"/>
  <c r="B396" i="5"/>
  <c r="B397" i="5" s="1"/>
  <c r="B398" i="5" s="1"/>
  <c r="B399" i="5" s="1"/>
  <c r="B400" i="5" s="1"/>
  <c r="B401" i="5" s="1"/>
  <c r="B402" i="5" s="1"/>
  <c r="B403" i="5" s="1"/>
  <c r="B404" i="5" s="1"/>
  <c r="B405" i="5" s="1"/>
  <c r="B406" i="5" s="1"/>
  <c r="B409" i="5"/>
  <c r="C409" i="5" s="1"/>
  <c r="E409" i="5" s="1"/>
  <c r="A423" i="5"/>
  <c r="M10" i="6"/>
  <c r="N10" i="6" s="1"/>
  <c r="K10" i="6"/>
  <c r="L10" i="6" s="1"/>
  <c r="M22" i="5"/>
  <c r="N22" i="5" s="1"/>
  <c r="L22" i="5"/>
  <c r="V22" i="5" s="1"/>
  <c r="M285" i="5"/>
  <c r="N285" i="5" s="1"/>
  <c r="L285" i="5"/>
  <c r="P64" i="5"/>
  <c r="P36" i="5"/>
  <c r="P78" i="5"/>
  <c r="O230" i="5"/>
  <c r="R107" i="5"/>
  <c r="Q107" i="5"/>
  <c r="R50" i="5"/>
  <c r="Q50" i="5"/>
  <c r="R175" i="5" l="1"/>
  <c r="F317" i="5"/>
  <c r="I317" i="5" s="1"/>
  <c r="Q120" i="5"/>
  <c r="S120" i="5" s="1"/>
  <c r="G121" i="5" s="1"/>
  <c r="H121" i="5" s="1"/>
  <c r="K121" i="5" s="1"/>
  <c r="M176" i="5"/>
  <c r="N176" i="5" s="1"/>
  <c r="L176" i="5"/>
  <c r="F356" i="5"/>
  <c r="I356" i="5" s="1"/>
  <c r="F343" i="5"/>
  <c r="I343" i="5" s="1"/>
  <c r="O298" i="5"/>
  <c r="P298" i="5" s="1"/>
  <c r="R298" i="5" s="1"/>
  <c r="O271" i="5"/>
  <c r="L326" i="5"/>
  <c r="M326" i="5"/>
  <c r="N326" i="5" s="1"/>
  <c r="L340" i="5"/>
  <c r="M340" i="5"/>
  <c r="N340" i="5" s="1"/>
  <c r="F369" i="5"/>
  <c r="I369" i="5" s="1"/>
  <c r="L216" i="5"/>
  <c r="M216" i="5"/>
  <c r="N216" i="5" s="1"/>
  <c r="M161" i="5"/>
  <c r="N161" i="5" s="1"/>
  <c r="L161" i="5"/>
  <c r="S107" i="5"/>
  <c r="G108" i="5" s="1"/>
  <c r="H108" i="5" s="1"/>
  <c r="K108" i="5" s="1"/>
  <c r="S92" i="5"/>
  <c r="G93" i="5" s="1"/>
  <c r="H93" i="5" s="1"/>
  <c r="K93" i="5" s="1"/>
  <c r="S243" i="5"/>
  <c r="G244" i="5" s="1"/>
  <c r="H244" i="5" s="1"/>
  <c r="K244" i="5" s="1"/>
  <c r="S133" i="5"/>
  <c r="G134" i="5" s="1"/>
  <c r="H134" i="5" s="1"/>
  <c r="K134" i="5" s="1"/>
  <c r="O189" i="5"/>
  <c r="P189" i="5" s="1"/>
  <c r="R189" i="5" s="1"/>
  <c r="S50" i="5"/>
  <c r="G51" i="5" s="1"/>
  <c r="H51" i="5" s="1"/>
  <c r="K51" i="5" s="1"/>
  <c r="O202" i="5"/>
  <c r="P202" i="5" s="1"/>
  <c r="Q202" i="5" s="1"/>
  <c r="M10" i="5"/>
  <c r="N10" i="5" s="1"/>
  <c r="L10" i="5"/>
  <c r="F382" i="5"/>
  <c r="I382" i="5" s="1"/>
  <c r="I381" i="5"/>
  <c r="M381" i="5" s="1"/>
  <c r="N381" i="5" s="1"/>
  <c r="L367" i="5"/>
  <c r="O367" i="5" s="1"/>
  <c r="P367" i="5" s="1"/>
  <c r="Q353" i="5"/>
  <c r="R92" i="5"/>
  <c r="O285" i="5"/>
  <c r="Q257" i="5"/>
  <c r="R257" i="5"/>
  <c r="F266" i="5"/>
  <c r="I266" i="5" s="1"/>
  <c r="F279" i="5"/>
  <c r="I279" i="5" s="1"/>
  <c r="F292" i="5"/>
  <c r="I292" i="5" s="1"/>
  <c r="F305" i="5"/>
  <c r="I305" i="5" s="1"/>
  <c r="F331" i="5"/>
  <c r="I331" i="5" s="1"/>
  <c r="G395" i="5"/>
  <c r="H395" i="5" s="1"/>
  <c r="K395" i="5" s="1"/>
  <c r="F395" i="5"/>
  <c r="D409" i="5"/>
  <c r="B410" i="5"/>
  <c r="B411" i="5" s="1"/>
  <c r="B412" i="5" s="1"/>
  <c r="B413" i="5" s="1"/>
  <c r="B414" i="5" s="1"/>
  <c r="B415" i="5" s="1"/>
  <c r="B416" i="5" s="1"/>
  <c r="B417" i="5" s="1"/>
  <c r="B418" i="5" s="1"/>
  <c r="B419" i="5" s="1"/>
  <c r="B420" i="5" s="1"/>
  <c r="B423" i="5"/>
  <c r="C423" i="5" s="1"/>
  <c r="E423" i="5" s="1"/>
  <c r="A437" i="5"/>
  <c r="M312" i="5"/>
  <c r="N312" i="5" s="1"/>
  <c r="L312" i="5"/>
  <c r="M148" i="5"/>
  <c r="N148" i="5" s="1"/>
  <c r="L148" i="5"/>
  <c r="P230" i="5"/>
  <c r="O10" i="6"/>
  <c r="O22" i="5"/>
  <c r="R64" i="5"/>
  <c r="Q64" i="5"/>
  <c r="S64" i="5" s="1"/>
  <c r="R36" i="5"/>
  <c r="Q36" i="5"/>
  <c r="R78" i="5"/>
  <c r="Q78" i="5"/>
  <c r="F344" i="5" l="1"/>
  <c r="I344" i="5" s="1"/>
  <c r="O176" i="5"/>
  <c r="P176" i="5" s="1"/>
  <c r="F318" i="5"/>
  <c r="I318" i="5" s="1"/>
  <c r="F357" i="5"/>
  <c r="I357" i="5" s="1"/>
  <c r="Q298" i="5"/>
  <c r="S298" i="5" s="1"/>
  <c r="G299" i="5" s="1"/>
  <c r="H299" i="5" s="1"/>
  <c r="K299" i="5" s="1"/>
  <c r="O326" i="5"/>
  <c r="P326" i="5" s="1"/>
  <c r="Q326" i="5" s="1"/>
  <c r="F383" i="5"/>
  <c r="I383" i="5" s="1"/>
  <c r="O216" i="5"/>
  <c r="P216" i="5" s="1"/>
  <c r="O340" i="5"/>
  <c r="P340" i="5" s="1"/>
  <c r="P271" i="5"/>
  <c r="R271" i="5" s="1"/>
  <c r="O161" i="5"/>
  <c r="P161" i="5" s="1"/>
  <c r="F370" i="5"/>
  <c r="I370" i="5" s="1"/>
  <c r="S353" i="5"/>
  <c r="G354" i="5" s="1"/>
  <c r="H354" i="5" s="1"/>
  <c r="K354" i="5" s="1"/>
  <c r="R202" i="5"/>
  <c r="O10" i="5"/>
  <c r="P10" i="5" s="1"/>
  <c r="R10" i="5" s="1"/>
  <c r="L121" i="5"/>
  <c r="M121" i="5"/>
  <c r="N121" i="5" s="1"/>
  <c r="M134" i="5"/>
  <c r="N134" i="5" s="1"/>
  <c r="L134" i="5"/>
  <c r="L244" i="5"/>
  <c r="M244" i="5"/>
  <c r="N244" i="5" s="1"/>
  <c r="S202" i="5"/>
  <c r="G203" i="5" s="1"/>
  <c r="H203" i="5" s="1"/>
  <c r="K203" i="5" s="1"/>
  <c r="Q189" i="5"/>
  <c r="S78" i="5"/>
  <c r="G79" i="5" s="1"/>
  <c r="H79" i="5" s="1"/>
  <c r="K79" i="5" s="1"/>
  <c r="S257" i="5"/>
  <c r="G258" i="5" s="1"/>
  <c r="H258" i="5" s="1"/>
  <c r="K258" i="5" s="1"/>
  <c r="S36" i="5"/>
  <c r="G37" i="5" s="1"/>
  <c r="H37" i="5" s="1"/>
  <c r="K37" i="5" s="1"/>
  <c r="G65" i="5"/>
  <c r="H65" i="5" s="1"/>
  <c r="K65" i="5" s="1"/>
  <c r="F396" i="5"/>
  <c r="I396" i="5" s="1"/>
  <c r="I395" i="5"/>
  <c r="M395" i="5" s="1"/>
  <c r="N395" i="5" s="1"/>
  <c r="L381" i="5"/>
  <c r="O381" i="5" s="1"/>
  <c r="P381" i="5" s="1"/>
  <c r="R367" i="5"/>
  <c r="Q367" i="5"/>
  <c r="M108" i="5"/>
  <c r="N108" i="5" s="1"/>
  <c r="L108" i="5"/>
  <c r="P285" i="5"/>
  <c r="O312" i="5"/>
  <c r="P312" i="5" s="1"/>
  <c r="F280" i="5"/>
  <c r="I280" i="5" s="1"/>
  <c r="F293" i="5"/>
  <c r="I293" i="5" s="1"/>
  <c r="F306" i="5"/>
  <c r="I306" i="5" s="1"/>
  <c r="F319" i="5"/>
  <c r="I319" i="5" s="1"/>
  <c r="F332" i="5"/>
  <c r="I332" i="5" s="1"/>
  <c r="F345" i="5"/>
  <c r="I345" i="5" s="1"/>
  <c r="G409" i="5"/>
  <c r="H409" i="5" s="1"/>
  <c r="K409" i="5" s="1"/>
  <c r="F409" i="5"/>
  <c r="D423" i="5"/>
  <c r="B424" i="5"/>
  <c r="B425" i="5" s="1"/>
  <c r="B426" i="5" s="1"/>
  <c r="B427" i="5" s="1"/>
  <c r="B428" i="5" s="1"/>
  <c r="B429" i="5" s="1"/>
  <c r="B430" i="5" s="1"/>
  <c r="B431" i="5" s="1"/>
  <c r="B432" i="5" s="1"/>
  <c r="B433" i="5" s="1"/>
  <c r="B434" i="5" s="1"/>
  <c r="B437" i="5"/>
  <c r="C437" i="5" s="1"/>
  <c r="E437" i="5" s="1"/>
  <c r="A451" i="5"/>
  <c r="M93" i="5"/>
  <c r="N93" i="5" s="1"/>
  <c r="L93" i="5"/>
  <c r="M51" i="5"/>
  <c r="N51" i="5" s="1"/>
  <c r="L51" i="5"/>
  <c r="P10" i="6"/>
  <c r="P22" i="5"/>
  <c r="O148" i="5"/>
  <c r="R176" i="5"/>
  <c r="R230" i="5"/>
  <c r="Q230" i="5"/>
  <c r="Q176" i="5" l="1"/>
  <c r="F358" i="5"/>
  <c r="I358" i="5" s="1"/>
  <c r="L299" i="5"/>
  <c r="F384" i="5"/>
  <c r="I384" i="5" s="1"/>
  <c r="R161" i="5"/>
  <c r="R326" i="5"/>
  <c r="Q161" i="5"/>
  <c r="S161" i="5" s="1"/>
  <c r="G162" i="5" s="1"/>
  <c r="H162" i="5" s="1"/>
  <c r="K162" i="5" s="1"/>
  <c r="M299" i="5"/>
  <c r="N299" i="5" s="1"/>
  <c r="Q216" i="5"/>
  <c r="S216" i="5" s="1"/>
  <c r="G217" i="5" s="1"/>
  <c r="H217" i="5" s="1"/>
  <c r="K217" i="5" s="1"/>
  <c r="F371" i="5"/>
  <c r="I371" i="5" s="1"/>
  <c r="Q10" i="5"/>
  <c r="S10" i="5" s="1"/>
  <c r="G11" i="5" s="1"/>
  <c r="H11" i="5" s="1"/>
  <c r="K11" i="5" s="1"/>
  <c r="R216" i="5"/>
  <c r="F397" i="5"/>
  <c r="I397" i="5" s="1"/>
  <c r="Q271" i="5"/>
  <c r="S271" i="5" s="1"/>
  <c r="G272" i="5" s="1"/>
  <c r="H272" i="5" s="1"/>
  <c r="K272" i="5" s="1"/>
  <c r="O134" i="5"/>
  <c r="P134" i="5" s="1"/>
  <c r="O121" i="5"/>
  <c r="P121" i="5" s="1"/>
  <c r="M354" i="5"/>
  <c r="N354" i="5" s="1"/>
  <c r="L354" i="5"/>
  <c r="S367" i="5"/>
  <c r="G368" i="5" s="1"/>
  <c r="H368" i="5" s="1"/>
  <c r="K368" i="5" s="1"/>
  <c r="O244" i="5"/>
  <c r="P244" i="5" s="1"/>
  <c r="M203" i="5"/>
  <c r="N203" i="5" s="1"/>
  <c r="L203" i="5"/>
  <c r="M258" i="5"/>
  <c r="N258" i="5" s="1"/>
  <c r="L258" i="5"/>
  <c r="S176" i="5"/>
  <c r="G177" i="5" s="1"/>
  <c r="H177" i="5" s="1"/>
  <c r="K177" i="5" s="1"/>
  <c r="S230" i="5"/>
  <c r="G231" i="5" s="1"/>
  <c r="H231" i="5" s="1"/>
  <c r="K231" i="5" s="1"/>
  <c r="S189" i="5"/>
  <c r="G190" i="5" s="1"/>
  <c r="H190" i="5" s="1"/>
  <c r="K190" i="5" s="1"/>
  <c r="S326" i="5"/>
  <c r="G327" i="5" s="1"/>
  <c r="H327" i="5" s="1"/>
  <c r="K327" i="5" s="1"/>
  <c r="F410" i="5"/>
  <c r="I410" i="5" s="1"/>
  <c r="I409" i="5"/>
  <c r="M409" i="5" s="1"/>
  <c r="N409" i="5" s="1"/>
  <c r="L395" i="5"/>
  <c r="O395" i="5" s="1"/>
  <c r="P395" i="5" s="1"/>
  <c r="R395" i="5" s="1"/>
  <c r="O108" i="5"/>
  <c r="P108" i="5" s="1"/>
  <c r="Q285" i="5"/>
  <c r="R285" i="5"/>
  <c r="R381" i="5"/>
  <c r="Q381" i="5"/>
  <c r="M79" i="5"/>
  <c r="N79" i="5" s="1"/>
  <c r="L79" i="5"/>
  <c r="R340" i="5"/>
  <c r="Q340" i="5"/>
  <c r="F294" i="5"/>
  <c r="I294" i="5" s="1"/>
  <c r="F307" i="5"/>
  <c r="I307" i="5" s="1"/>
  <c r="F320" i="5"/>
  <c r="I320" i="5" s="1"/>
  <c r="F333" i="5"/>
  <c r="I333" i="5" s="1"/>
  <c r="F346" i="5"/>
  <c r="I346" i="5" s="1"/>
  <c r="F359" i="5"/>
  <c r="I359" i="5" s="1"/>
  <c r="G423" i="5"/>
  <c r="H423" i="5" s="1"/>
  <c r="K423" i="5" s="1"/>
  <c r="F423" i="5"/>
  <c r="D437" i="5"/>
  <c r="B438" i="5"/>
  <c r="B439" i="5" s="1"/>
  <c r="B440" i="5" s="1"/>
  <c r="B441" i="5" s="1"/>
  <c r="B442" i="5" s="1"/>
  <c r="B443" i="5" s="1"/>
  <c r="B444" i="5" s="1"/>
  <c r="B445" i="5" s="1"/>
  <c r="B446" i="5" s="1"/>
  <c r="B447" i="5" s="1"/>
  <c r="B448" i="5" s="1"/>
  <c r="B451" i="5"/>
  <c r="C451" i="5" s="1"/>
  <c r="E451" i="5" s="1"/>
  <c r="A465" i="5"/>
  <c r="M65" i="5"/>
  <c r="N65" i="5" s="1"/>
  <c r="L65" i="5"/>
  <c r="M37" i="5"/>
  <c r="N37" i="5" s="1"/>
  <c r="L37" i="5"/>
  <c r="P148" i="5"/>
  <c r="O93" i="5"/>
  <c r="O51" i="5"/>
  <c r="Q312" i="5"/>
  <c r="R312" i="5"/>
  <c r="R10" i="6"/>
  <c r="Q10" i="6"/>
  <c r="S10" i="6" s="1"/>
  <c r="G11" i="6" s="1"/>
  <c r="R22" i="5"/>
  <c r="Q22" i="5"/>
  <c r="F385" i="5" l="1"/>
  <c r="I385" i="5" s="1"/>
  <c r="O299" i="5"/>
  <c r="P299" i="5" s="1"/>
  <c r="R299" i="5" s="1"/>
  <c r="M272" i="5"/>
  <c r="N272" i="5" s="1"/>
  <c r="L272" i="5"/>
  <c r="O272" i="5" s="1"/>
  <c r="P272" i="5" s="1"/>
  <c r="R272" i="5" s="1"/>
  <c r="F372" i="5"/>
  <c r="I372" i="5" s="1"/>
  <c r="F398" i="5"/>
  <c r="I398" i="5" s="1"/>
  <c r="F411" i="5"/>
  <c r="I411" i="5" s="1"/>
  <c r="R134" i="5"/>
  <c r="Q121" i="5"/>
  <c r="R121" i="5"/>
  <c r="Q134" i="5"/>
  <c r="S134" i="5" s="1"/>
  <c r="G135" i="5" s="1"/>
  <c r="H135" i="5" s="1"/>
  <c r="K135" i="5" s="1"/>
  <c r="O354" i="5"/>
  <c r="P354" i="5" s="1"/>
  <c r="O258" i="5"/>
  <c r="P258" i="5" s="1"/>
  <c r="O203" i="5"/>
  <c r="P203" i="5" s="1"/>
  <c r="Q299" i="5"/>
  <c r="S299" i="5" s="1"/>
  <c r="G300" i="5" s="1"/>
  <c r="H300" i="5" s="1"/>
  <c r="K300" i="5" s="1"/>
  <c r="L409" i="5"/>
  <c r="O409" i="5" s="1"/>
  <c r="P409" i="5" s="1"/>
  <c r="L368" i="5"/>
  <c r="M368" i="5"/>
  <c r="N368" i="5" s="1"/>
  <c r="S381" i="5"/>
  <c r="G382" i="5" s="1"/>
  <c r="H382" i="5" s="1"/>
  <c r="K382" i="5" s="1"/>
  <c r="L190" i="5"/>
  <c r="M190" i="5"/>
  <c r="N190" i="5" s="1"/>
  <c r="M327" i="5"/>
  <c r="N327" i="5" s="1"/>
  <c r="L327" i="5"/>
  <c r="L217" i="5"/>
  <c r="M217" i="5"/>
  <c r="N217" i="5" s="1"/>
  <c r="S312" i="5"/>
  <c r="G313" i="5" s="1"/>
  <c r="H313" i="5" s="1"/>
  <c r="K313" i="5" s="1"/>
  <c r="S340" i="5"/>
  <c r="G341" i="5" s="1"/>
  <c r="H341" i="5" s="1"/>
  <c r="K341" i="5" s="1"/>
  <c r="S121" i="5"/>
  <c r="G122" i="5" s="1"/>
  <c r="H122" i="5" s="1"/>
  <c r="K122" i="5" s="1"/>
  <c r="S285" i="5"/>
  <c r="G286" i="5" s="1"/>
  <c r="H286" i="5" s="1"/>
  <c r="K286" i="5" s="1"/>
  <c r="S22" i="5"/>
  <c r="G23" i="5" s="1"/>
  <c r="H23" i="5" s="1"/>
  <c r="K23" i="5" s="1"/>
  <c r="M11" i="5"/>
  <c r="N11" i="5" s="1"/>
  <c r="L11" i="5"/>
  <c r="F424" i="5"/>
  <c r="I424" i="5" s="1"/>
  <c r="I423" i="5"/>
  <c r="M423" i="5" s="1"/>
  <c r="N423" i="5" s="1"/>
  <c r="Q395" i="5"/>
  <c r="O79" i="5"/>
  <c r="P79" i="5" s="1"/>
  <c r="M177" i="5"/>
  <c r="N177" i="5" s="1"/>
  <c r="L177" i="5"/>
  <c r="F308" i="5"/>
  <c r="I308" i="5" s="1"/>
  <c r="F321" i="5"/>
  <c r="I321" i="5" s="1"/>
  <c r="F334" i="5"/>
  <c r="I334" i="5" s="1"/>
  <c r="F347" i="5"/>
  <c r="I347" i="5" s="1"/>
  <c r="F360" i="5"/>
  <c r="I360" i="5" s="1"/>
  <c r="F386" i="5"/>
  <c r="I386" i="5" s="1"/>
  <c r="G437" i="5"/>
  <c r="H437" i="5" s="1"/>
  <c r="K437" i="5" s="1"/>
  <c r="F437" i="5"/>
  <c r="D451" i="5"/>
  <c r="B452" i="5"/>
  <c r="B453" i="5" s="1"/>
  <c r="B454" i="5" s="1"/>
  <c r="B455" i="5" s="1"/>
  <c r="B456" i="5" s="1"/>
  <c r="B457" i="5" s="1"/>
  <c r="B458" i="5" s="1"/>
  <c r="B459" i="5" s="1"/>
  <c r="B460" i="5" s="1"/>
  <c r="B461" i="5" s="1"/>
  <c r="B462" i="5" s="1"/>
  <c r="B465" i="5"/>
  <c r="C465" i="5" s="1"/>
  <c r="E465" i="5" s="1"/>
  <c r="A479" i="5"/>
  <c r="M162" i="5"/>
  <c r="N162" i="5" s="1"/>
  <c r="L162" i="5"/>
  <c r="M231" i="5"/>
  <c r="N231" i="5" s="1"/>
  <c r="L231" i="5"/>
  <c r="P93" i="5"/>
  <c r="P51" i="5"/>
  <c r="H11" i="6"/>
  <c r="O65" i="5"/>
  <c r="O37" i="5"/>
  <c r="R244" i="5"/>
  <c r="Q244" i="5"/>
  <c r="R108" i="5"/>
  <c r="Q108" i="5"/>
  <c r="R148" i="5"/>
  <c r="Q148" i="5"/>
  <c r="F399" i="5" l="1"/>
  <c r="I399" i="5" s="1"/>
  <c r="F373" i="5"/>
  <c r="I373" i="5" s="1"/>
  <c r="F412" i="5"/>
  <c r="I412" i="5" s="1"/>
  <c r="Q272" i="5"/>
  <c r="S272" i="5" s="1"/>
  <c r="O217" i="5"/>
  <c r="P217" i="5" s="1"/>
  <c r="O190" i="5"/>
  <c r="O11" i="5"/>
  <c r="P11" i="5" s="1"/>
  <c r="O368" i="5"/>
  <c r="P368" i="5" s="1"/>
  <c r="Q368" i="5" s="1"/>
  <c r="M382" i="5"/>
  <c r="N382" i="5" s="1"/>
  <c r="L382" i="5"/>
  <c r="O327" i="5"/>
  <c r="P327" i="5" s="1"/>
  <c r="R327" i="5" s="1"/>
  <c r="S395" i="5"/>
  <c r="G396" i="5" s="1"/>
  <c r="H396" i="5" s="1"/>
  <c r="K396" i="5" s="1"/>
  <c r="F425" i="5"/>
  <c r="I425" i="5" s="1"/>
  <c r="L135" i="5"/>
  <c r="M135" i="5"/>
  <c r="N135" i="5" s="1"/>
  <c r="L122" i="5"/>
  <c r="M122" i="5"/>
  <c r="N122" i="5" s="1"/>
  <c r="L341" i="5"/>
  <c r="M341" i="5"/>
  <c r="N341" i="5" s="1"/>
  <c r="L286" i="5"/>
  <c r="M286" i="5"/>
  <c r="N286" i="5" s="1"/>
  <c r="L300" i="5"/>
  <c r="M300" i="5"/>
  <c r="N300" i="5" s="1"/>
  <c r="S108" i="5"/>
  <c r="G109" i="5" s="1"/>
  <c r="H109" i="5" s="1"/>
  <c r="K109" i="5" s="1"/>
  <c r="G273" i="5"/>
  <c r="H273" i="5" s="1"/>
  <c r="K273" i="5" s="1"/>
  <c r="S148" i="5"/>
  <c r="G149" i="5" s="1"/>
  <c r="H149" i="5" s="1"/>
  <c r="K149" i="5" s="1"/>
  <c r="S244" i="5"/>
  <c r="G245" i="5" s="1"/>
  <c r="H245" i="5" s="1"/>
  <c r="K245" i="5" s="1"/>
  <c r="L423" i="5"/>
  <c r="O423" i="5" s="1"/>
  <c r="P423" i="5" s="1"/>
  <c r="Q423" i="5" s="1"/>
  <c r="F438" i="5"/>
  <c r="I438" i="5" s="1"/>
  <c r="I437" i="5"/>
  <c r="M437" i="5" s="1"/>
  <c r="N437" i="5" s="1"/>
  <c r="O177" i="5"/>
  <c r="P177" i="5" s="1"/>
  <c r="O231" i="5"/>
  <c r="P231" i="5" s="1"/>
  <c r="O162" i="5"/>
  <c r="P162" i="5" s="1"/>
  <c r="Q354" i="5"/>
  <c r="R354" i="5"/>
  <c r="F322" i="5"/>
  <c r="I322" i="5" s="1"/>
  <c r="F335" i="5"/>
  <c r="I335" i="5" s="1"/>
  <c r="F348" i="5"/>
  <c r="I348" i="5" s="1"/>
  <c r="F361" i="5"/>
  <c r="I361" i="5" s="1"/>
  <c r="F374" i="5"/>
  <c r="I374" i="5" s="1"/>
  <c r="F387" i="5"/>
  <c r="I387" i="5" s="1"/>
  <c r="F400" i="5"/>
  <c r="I400" i="5" s="1"/>
  <c r="F413" i="5"/>
  <c r="I413" i="5" s="1"/>
  <c r="G451" i="5"/>
  <c r="H451" i="5" s="1"/>
  <c r="K451" i="5" s="1"/>
  <c r="F451" i="5"/>
  <c r="D465" i="5"/>
  <c r="B466" i="5"/>
  <c r="B467" i="5" s="1"/>
  <c r="B468" i="5" s="1"/>
  <c r="B469" i="5" s="1"/>
  <c r="B470" i="5" s="1"/>
  <c r="B471" i="5" s="1"/>
  <c r="B472" i="5" s="1"/>
  <c r="B473" i="5" s="1"/>
  <c r="B474" i="5" s="1"/>
  <c r="B475" i="5" s="1"/>
  <c r="B476" i="5" s="1"/>
  <c r="B479" i="5"/>
  <c r="C479" i="5" s="1"/>
  <c r="E479" i="5" s="1"/>
  <c r="A493" i="5"/>
  <c r="M313" i="5"/>
  <c r="N313" i="5" s="1"/>
  <c r="L313" i="5"/>
  <c r="M11" i="6"/>
  <c r="N11" i="6" s="1"/>
  <c r="K11" i="6"/>
  <c r="L11" i="6" s="1"/>
  <c r="M23" i="5"/>
  <c r="N23" i="5" s="1"/>
  <c r="L23" i="5"/>
  <c r="V23" i="5" s="1"/>
  <c r="P65" i="5"/>
  <c r="P37" i="5"/>
  <c r="Q409" i="5"/>
  <c r="R409" i="5"/>
  <c r="R258" i="5"/>
  <c r="Q258" i="5"/>
  <c r="R93" i="5"/>
  <c r="Q93" i="5"/>
  <c r="R203" i="5"/>
  <c r="Q203" i="5"/>
  <c r="R79" i="5"/>
  <c r="Q79" i="5"/>
  <c r="R51" i="5"/>
  <c r="Q51" i="5"/>
  <c r="L109" i="5" l="1"/>
  <c r="M396" i="5"/>
  <c r="N396" i="5" s="1"/>
  <c r="L396" i="5"/>
  <c r="L273" i="5"/>
  <c r="F426" i="5"/>
  <c r="I426" i="5" s="1"/>
  <c r="R217" i="5"/>
  <c r="Q327" i="5"/>
  <c r="S327" i="5" s="1"/>
  <c r="G328" i="5" s="1"/>
  <c r="H328" i="5" s="1"/>
  <c r="K328" i="5" s="1"/>
  <c r="Q217" i="5"/>
  <c r="S217" i="5" s="1"/>
  <c r="G218" i="5" s="1"/>
  <c r="H218" i="5" s="1"/>
  <c r="K218" i="5" s="1"/>
  <c r="P190" i="5"/>
  <c r="Q190" i="5" s="1"/>
  <c r="S190" i="5" s="1"/>
  <c r="G191" i="5" s="1"/>
  <c r="H191" i="5" s="1"/>
  <c r="K191" i="5" s="1"/>
  <c r="L437" i="5"/>
  <c r="O437" i="5" s="1"/>
  <c r="P437" i="5" s="1"/>
  <c r="M109" i="5"/>
  <c r="N109" i="5" s="1"/>
  <c r="O300" i="5"/>
  <c r="P300" i="5" s="1"/>
  <c r="R300" i="5" s="1"/>
  <c r="O341" i="5"/>
  <c r="P341" i="5" s="1"/>
  <c r="O135" i="5"/>
  <c r="P135" i="5" s="1"/>
  <c r="M273" i="5"/>
  <c r="N273" i="5" s="1"/>
  <c r="O286" i="5"/>
  <c r="P286" i="5" s="1"/>
  <c r="O122" i="5"/>
  <c r="P122" i="5" s="1"/>
  <c r="O382" i="5"/>
  <c r="P382" i="5" s="1"/>
  <c r="S423" i="5"/>
  <c r="G424" i="5" s="1"/>
  <c r="H424" i="5" s="1"/>
  <c r="K424" i="5" s="1"/>
  <c r="S409" i="5"/>
  <c r="G410" i="5" s="1"/>
  <c r="H410" i="5" s="1"/>
  <c r="K410" i="5" s="1"/>
  <c r="S79" i="5"/>
  <c r="G80" i="5" s="1"/>
  <c r="H80" i="5" s="1"/>
  <c r="K80" i="5" s="1"/>
  <c r="S368" i="5"/>
  <c r="G369" i="5" s="1"/>
  <c r="H369" i="5" s="1"/>
  <c r="K369" i="5" s="1"/>
  <c r="S203" i="5"/>
  <c r="G204" i="5" s="1"/>
  <c r="H204" i="5" s="1"/>
  <c r="K204" i="5" s="1"/>
  <c r="S93" i="5"/>
  <c r="G94" i="5" s="1"/>
  <c r="H94" i="5" s="1"/>
  <c r="K94" i="5" s="1"/>
  <c r="S51" i="5"/>
  <c r="G52" i="5" s="1"/>
  <c r="H52" i="5" s="1"/>
  <c r="K52" i="5" s="1"/>
  <c r="S258" i="5"/>
  <c r="G259" i="5" s="1"/>
  <c r="H259" i="5" s="1"/>
  <c r="K259" i="5" s="1"/>
  <c r="S354" i="5"/>
  <c r="G355" i="5" s="1"/>
  <c r="H355" i="5" s="1"/>
  <c r="K355" i="5" s="1"/>
  <c r="F439" i="5"/>
  <c r="I439" i="5" s="1"/>
  <c r="F452" i="5"/>
  <c r="I452" i="5" s="1"/>
  <c r="I451" i="5"/>
  <c r="M451" i="5" s="1"/>
  <c r="N451" i="5" s="1"/>
  <c r="R368" i="5"/>
  <c r="R423" i="5"/>
  <c r="Q162" i="5"/>
  <c r="R162" i="5"/>
  <c r="O313" i="5"/>
  <c r="R177" i="5"/>
  <c r="Q177" i="5"/>
  <c r="F336" i="5"/>
  <c r="I336" i="5" s="1"/>
  <c r="F349" i="5"/>
  <c r="I349" i="5" s="1"/>
  <c r="F362" i="5"/>
  <c r="I362" i="5" s="1"/>
  <c r="F375" i="5"/>
  <c r="I375" i="5" s="1"/>
  <c r="F388" i="5"/>
  <c r="I388" i="5" s="1"/>
  <c r="F401" i="5"/>
  <c r="I401" i="5" s="1"/>
  <c r="F414" i="5"/>
  <c r="I414" i="5" s="1"/>
  <c r="F427" i="5"/>
  <c r="I427" i="5" s="1"/>
  <c r="G465" i="5"/>
  <c r="H465" i="5" s="1"/>
  <c r="K465" i="5" s="1"/>
  <c r="F465" i="5"/>
  <c r="D479" i="5"/>
  <c r="B480" i="5"/>
  <c r="B481" i="5" s="1"/>
  <c r="B482" i="5" s="1"/>
  <c r="B483" i="5" s="1"/>
  <c r="B484" i="5" s="1"/>
  <c r="B485" i="5" s="1"/>
  <c r="B486" i="5" s="1"/>
  <c r="B487" i="5" s="1"/>
  <c r="B488" i="5" s="1"/>
  <c r="B489" i="5" s="1"/>
  <c r="B490" i="5" s="1"/>
  <c r="B493" i="5"/>
  <c r="C493" i="5" s="1"/>
  <c r="E493" i="5" s="1"/>
  <c r="A507" i="5"/>
  <c r="M245" i="5"/>
  <c r="N245" i="5" s="1"/>
  <c r="L245" i="5"/>
  <c r="M149" i="5"/>
  <c r="N149" i="5" s="1"/>
  <c r="L149" i="5"/>
  <c r="O11" i="6"/>
  <c r="O23" i="5"/>
  <c r="Q231" i="5"/>
  <c r="R231" i="5"/>
  <c r="R11" i="5"/>
  <c r="Q11" i="5"/>
  <c r="S11" i="5" s="1"/>
  <c r="R65" i="5"/>
  <c r="Q65" i="5"/>
  <c r="S65" i="5" s="1"/>
  <c r="R37" i="5"/>
  <c r="Q37" i="5"/>
  <c r="O396" i="5" l="1"/>
  <c r="L218" i="5"/>
  <c r="L80" i="5"/>
  <c r="O273" i="5"/>
  <c r="P273" i="5" s="1"/>
  <c r="O109" i="5"/>
  <c r="F440" i="5"/>
  <c r="I440" i="5" s="1"/>
  <c r="F453" i="5"/>
  <c r="I453" i="5" s="1"/>
  <c r="Q286" i="5"/>
  <c r="S286" i="5" s="1"/>
  <c r="G287" i="5" s="1"/>
  <c r="H287" i="5" s="1"/>
  <c r="K287" i="5" s="1"/>
  <c r="R286" i="5"/>
  <c r="L451" i="5"/>
  <c r="O451" i="5" s="1"/>
  <c r="Q300" i="5"/>
  <c r="S300" i="5" s="1"/>
  <c r="G301" i="5" s="1"/>
  <c r="H301" i="5" s="1"/>
  <c r="K301" i="5" s="1"/>
  <c r="R190" i="5"/>
  <c r="R382" i="5"/>
  <c r="Q122" i="5"/>
  <c r="S122" i="5" s="1"/>
  <c r="G123" i="5" s="1"/>
  <c r="H123" i="5" s="1"/>
  <c r="K123" i="5" s="1"/>
  <c r="R122" i="5"/>
  <c r="Q382" i="5"/>
  <c r="S382" i="5" s="1"/>
  <c r="G383" i="5" s="1"/>
  <c r="H383" i="5" s="1"/>
  <c r="K383" i="5" s="1"/>
  <c r="M80" i="5"/>
  <c r="N80" i="5" s="1"/>
  <c r="M355" i="5"/>
  <c r="N355" i="5" s="1"/>
  <c r="L355" i="5"/>
  <c r="L191" i="5"/>
  <c r="M191" i="5"/>
  <c r="N191" i="5" s="1"/>
  <c r="L328" i="5"/>
  <c r="M328" i="5"/>
  <c r="N328" i="5" s="1"/>
  <c r="S162" i="5"/>
  <c r="G163" i="5" s="1"/>
  <c r="H163" i="5" s="1"/>
  <c r="K163" i="5" s="1"/>
  <c r="S231" i="5"/>
  <c r="G232" i="5" s="1"/>
  <c r="H232" i="5" s="1"/>
  <c r="K232" i="5" s="1"/>
  <c r="S177" i="5"/>
  <c r="G178" i="5" s="1"/>
  <c r="H178" i="5" s="1"/>
  <c r="K178" i="5" s="1"/>
  <c r="M218" i="5"/>
  <c r="N218" i="5" s="1"/>
  <c r="S37" i="5"/>
  <c r="G38" i="5" s="1"/>
  <c r="H38" i="5" s="1"/>
  <c r="K38" i="5" s="1"/>
  <c r="G12" i="5"/>
  <c r="H12" i="5" s="1"/>
  <c r="K12" i="5" s="1"/>
  <c r="G66" i="5"/>
  <c r="H66" i="5" s="1"/>
  <c r="K66" i="5" s="1"/>
  <c r="F466" i="5"/>
  <c r="I466" i="5" s="1"/>
  <c r="I465" i="5"/>
  <c r="M465" i="5" s="1"/>
  <c r="N465" i="5" s="1"/>
  <c r="P313" i="5"/>
  <c r="Q313" i="5" s="1"/>
  <c r="P109" i="5"/>
  <c r="R109" i="5" s="1"/>
  <c r="F350" i="5"/>
  <c r="I350" i="5" s="1"/>
  <c r="F363" i="5"/>
  <c r="I363" i="5" s="1"/>
  <c r="F376" i="5"/>
  <c r="I376" i="5" s="1"/>
  <c r="F389" i="5"/>
  <c r="I389" i="5" s="1"/>
  <c r="F402" i="5"/>
  <c r="I402" i="5" s="1"/>
  <c r="F415" i="5"/>
  <c r="I415" i="5" s="1"/>
  <c r="F428" i="5"/>
  <c r="I428" i="5" s="1"/>
  <c r="G479" i="5"/>
  <c r="H479" i="5" s="1"/>
  <c r="K479" i="5" s="1"/>
  <c r="F479" i="5"/>
  <c r="D493" i="5"/>
  <c r="B494" i="5"/>
  <c r="B495" i="5" s="1"/>
  <c r="B496" i="5" s="1"/>
  <c r="B497" i="5" s="1"/>
  <c r="B498" i="5" s="1"/>
  <c r="B499" i="5" s="1"/>
  <c r="B500" i="5" s="1"/>
  <c r="B501" i="5" s="1"/>
  <c r="B502" i="5" s="1"/>
  <c r="B503" i="5" s="1"/>
  <c r="B504" i="5" s="1"/>
  <c r="B507" i="5"/>
  <c r="C507" i="5" s="1"/>
  <c r="E507" i="5" s="1"/>
  <c r="A521" i="5"/>
  <c r="L369" i="5"/>
  <c r="M369" i="5"/>
  <c r="N369" i="5" s="1"/>
  <c r="M410" i="5"/>
  <c r="N410" i="5" s="1"/>
  <c r="L410" i="5"/>
  <c r="M259" i="5"/>
  <c r="N259" i="5" s="1"/>
  <c r="L259" i="5"/>
  <c r="M94" i="5"/>
  <c r="N94" i="5" s="1"/>
  <c r="L94" i="5"/>
  <c r="M204" i="5"/>
  <c r="N204" i="5" s="1"/>
  <c r="L204" i="5"/>
  <c r="M52" i="5"/>
  <c r="N52" i="5" s="1"/>
  <c r="L52" i="5"/>
  <c r="P11" i="6"/>
  <c r="P23" i="5"/>
  <c r="P396" i="5"/>
  <c r="M424" i="5"/>
  <c r="N424" i="5" s="1"/>
  <c r="L424" i="5"/>
  <c r="O245" i="5"/>
  <c r="O149" i="5"/>
  <c r="R437" i="5"/>
  <c r="Q437" i="5"/>
  <c r="R135" i="5"/>
  <c r="Q135" i="5"/>
  <c r="R341" i="5"/>
  <c r="Q341" i="5"/>
  <c r="Q273" i="5" l="1"/>
  <c r="R273" i="5"/>
  <c r="L178" i="5"/>
  <c r="O80" i="5"/>
  <c r="P80" i="5" s="1"/>
  <c r="O218" i="5"/>
  <c r="P218" i="5" s="1"/>
  <c r="F454" i="5"/>
  <c r="I454" i="5" s="1"/>
  <c r="F441" i="5"/>
  <c r="I441" i="5" s="1"/>
  <c r="O328" i="5"/>
  <c r="P328" i="5" s="1"/>
  <c r="O355" i="5"/>
  <c r="P355" i="5" s="1"/>
  <c r="Q355" i="5" s="1"/>
  <c r="O191" i="5"/>
  <c r="P191" i="5" s="1"/>
  <c r="Q191" i="5" s="1"/>
  <c r="S437" i="5"/>
  <c r="G438" i="5" s="1"/>
  <c r="H438" i="5" s="1"/>
  <c r="K438" i="5" s="1"/>
  <c r="M178" i="5"/>
  <c r="N178" i="5" s="1"/>
  <c r="M301" i="5"/>
  <c r="N301" i="5" s="1"/>
  <c r="L301" i="5"/>
  <c r="M123" i="5"/>
  <c r="N123" i="5" s="1"/>
  <c r="L123" i="5"/>
  <c r="S135" i="5"/>
  <c r="G136" i="5" s="1"/>
  <c r="H136" i="5" s="1"/>
  <c r="K136" i="5" s="1"/>
  <c r="S341" i="5"/>
  <c r="G342" i="5" s="1"/>
  <c r="H342" i="5" s="1"/>
  <c r="K342" i="5" s="1"/>
  <c r="S273" i="5"/>
  <c r="G274" i="5" s="1"/>
  <c r="H274" i="5" s="1"/>
  <c r="K274" i="5" s="1"/>
  <c r="S313" i="5"/>
  <c r="G314" i="5" s="1"/>
  <c r="H314" i="5" s="1"/>
  <c r="K314" i="5" s="1"/>
  <c r="F467" i="5"/>
  <c r="I467" i="5" s="1"/>
  <c r="F480" i="5"/>
  <c r="I480" i="5" s="1"/>
  <c r="I479" i="5"/>
  <c r="M479" i="5" s="1"/>
  <c r="N479" i="5" s="1"/>
  <c r="L465" i="5"/>
  <c r="O465" i="5" s="1"/>
  <c r="P465" i="5" s="1"/>
  <c r="Q465" i="5" s="1"/>
  <c r="R218" i="5"/>
  <c r="Q109" i="5"/>
  <c r="O369" i="5"/>
  <c r="P369" i="5" s="1"/>
  <c r="R369" i="5" s="1"/>
  <c r="R313" i="5"/>
  <c r="P451" i="5"/>
  <c r="R451" i="5" s="1"/>
  <c r="R396" i="5"/>
  <c r="Q396" i="5"/>
  <c r="R80" i="5"/>
  <c r="L163" i="5"/>
  <c r="M163" i="5"/>
  <c r="N163" i="5" s="1"/>
  <c r="R355" i="5"/>
  <c r="F364" i="5"/>
  <c r="I364" i="5" s="1"/>
  <c r="F377" i="5"/>
  <c r="I377" i="5" s="1"/>
  <c r="F390" i="5"/>
  <c r="I390" i="5" s="1"/>
  <c r="F403" i="5"/>
  <c r="I403" i="5" s="1"/>
  <c r="F416" i="5"/>
  <c r="I416" i="5" s="1"/>
  <c r="F429" i="5"/>
  <c r="I429" i="5" s="1"/>
  <c r="G493" i="5"/>
  <c r="H493" i="5" s="1"/>
  <c r="K493" i="5" s="1"/>
  <c r="F493" i="5"/>
  <c r="D507" i="5"/>
  <c r="B508" i="5"/>
  <c r="B509" i="5" s="1"/>
  <c r="B510" i="5" s="1"/>
  <c r="B511" i="5" s="1"/>
  <c r="B512" i="5" s="1"/>
  <c r="B513" i="5" s="1"/>
  <c r="B514" i="5" s="1"/>
  <c r="B515" i="5" s="1"/>
  <c r="B516" i="5" s="1"/>
  <c r="B517" i="5" s="1"/>
  <c r="B518" i="5" s="1"/>
  <c r="B521" i="5"/>
  <c r="C521" i="5" s="1"/>
  <c r="E521" i="5" s="1"/>
  <c r="A535" i="5"/>
  <c r="M232" i="5"/>
  <c r="N232" i="5" s="1"/>
  <c r="L232" i="5"/>
  <c r="L383" i="5"/>
  <c r="M383" i="5"/>
  <c r="N383" i="5" s="1"/>
  <c r="M287" i="5"/>
  <c r="N287" i="5" s="1"/>
  <c r="L287" i="5"/>
  <c r="M12" i="5"/>
  <c r="N12" i="5" s="1"/>
  <c r="L12" i="5"/>
  <c r="M66" i="5"/>
  <c r="N66" i="5" s="1"/>
  <c r="L66" i="5"/>
  <c r="M38" i="5"/>
  <c r="N38" i="5" s="1"/>
  <c r="L38" i="5"/>
  <c r="P245" i="5"/>
  <c r="P149" i="5"/>
  <c r="O410" i="5"/>
  <c r="O259" i="5"/>
  <c r="O94" i="5"/>
  <c r="O204" i="5"/>
  <c r="O52" i="5"/>
  <c r="O424" i="5"/>
  <c r="R11" i="6"/>
  <c r="Q11" i="6"/>
  <c r="S11" i="6" s="1"/>
  <c r="G12" i="6" s="1"/>
  <c r="R23" i="5"/>
  <c r="Q23" i="5"/>
  <c r="Q80" i="5" l="1"/>
  <c r="O178" i="5"/>
  <c r="P178" i="5" s="1"/>
  <c r="Q218" i="5"/>
  <c r="M274" i="5"/>
  <c r="N274" i="5" s="1"/>
  <c r="L274" i="5"/>
  <c r="F455" i="5"/>
  <c r="I455" i="5" s="1"/>
  <c r="F442" i="5"/>
  <c r="I442" i="5" s="1"/>
  <c r="Q328" i="5"/>
  <c r="S328" i="5" s="1"/>
  <c r="G329" i="5" s="1"/>
  <c r="H329" i="5" s="1"/>
  <c r="K329" i="5" s="1"/>
  <c r="F468" i="5"/>
  <c r="I468" i="5" s="1"/>
  <c r="R328" i="5"/>
  <c r="O123" i="5"/>
  <c r="P123" i="5" s="1"/>
  <c r="R123" i="5" s="1"/>
  <c r="R191" i="5"/>
  <c r="S465" i="5"/>
  <c r="G466" i="5" s="1"/>
  <c r="H466" i="5" s="1"/>
  <c r="K466" i="5" s="1"/>
  <c r="O301" i="5"/>
  <c r="P301" i="5" s="1"/>
  <c r="R301" i="5" s="1"/>
  <c r="F481" i="5"/>
  <c r="I481" i="5" s="1"/>
  <c r="S191" i="5"/>
  <c r="G192" i="5" s="1"/>
  <c r="H192" i="5" s="1"/>
  <c r="K192" i="5" s="1"/>
  <c r="L314" i="5"/>
  <c r="M314" i="5"/>
  <c r="N314" i="5" s="1"/>
  <c r="S109" i="5"/>
  <c r="G110" i="5" s="1"/>
  <c r="H110" i="5" s="1"/>
  <c r="K110" i="5" s="1"/>
  <c r="S218" i="5"/>
  <c r="G219" i="5" s="1"/>
  <c r="H219" i="5" s="1"/>
  <c r="K219" i="5" s="1"/>
  <c r="S396" i="5"/>
  <c r="G397" i="5" s="1"/>
  <c r="H397" i="5" s="1"/>
  <c r="K397" i="5" s="1"/>
  <c r="S23" i="5"/>
  <c r="G24" i="5" s="1"/>
  <c r="H24" i="5" s="1"/>
  <c r="K24" i="5" s="1"/>
  <c r="S355" i="5"/>
  <c r="G356" i="5" s="1"/>
  <c r="H356" i="5" s="1"/>
  <c r="K356" i="5" s="1"/>
  <c r="S80" i="5"/>
  <c r="G81" i="5" s="1"/>
  <c r="H81" i="5" s="1"/>
  <c r="K81" i="5" s="1"/>
  <c r="L479" i="5"/>
  <c r="O479" i="5" s="1"/>
  <c r="F494" i="5"/>
  <c r="I494" i="5" s="1"/>
  <c r="I493" i="5"/>
  <c r="M493" i="5" s="1"/>
  <c r="N493" i="5" s="1"/>
  <c r="Q369" i="5"/>
  <c r="O383" i="5"/>
  <c r="P383" i="5" s="1"/>
  <c r="R465" i="5"/>
  <c r="Q451" i="5"/>
  <c r="O163" i="5"/>
  <c r="R178" i="5"/>
  <c r="R245" i="5"/>
  <c r="Q245" i="5"/>
  <c r="F378" i="5"/>
  <c r="I378" i="5" s="1"/>
  <c r="F391" i="5"/>
  <c r="I391" i="5" s="1"/>
  <c r="F404" i="5"/>
  <c r="I404" i="5" s="1"/>
  <c r="F417" i="5"/>
  <c r="I417" i="5" s="1"/>
  <c r="F430" i="5"/>
  <c r="I430" i="5" s="1"/>
  <c r="G507" i="5"/>
  <c r="H507" i="5" s="1"/>
  <c r="K507" i="5" s="1"/>
  <c r="F507" i="5"/>
  <c r="D521" i="5"/>
  <c r="B522" i="5"/>
  <c r="B523" i="5" s="1"/>
  <c r="B524" i="5" s="1"/>
  <c r="B525" i="5" s="1"/>
  <c r="B526" i="5" s="1"/>
  <c r="B527" i="5" s="1"/>
  <c r="B528" i="5" s="1"/>
  <c r="B529" i="5" s="1"/>
  <c r="B530" i="5" s="1"/>
  <c r="B531" i="5" s="1"/>
  <c r="B532" i="5" s="1"/>
  <c r="B535" i="5"/>
  <c r="C535" i="5" s="1"/>
  <c r="E535" i="5" s="1"/>
  <c r="A549" i="5"/>
  <c r="M438" i="5"/>
  <c r="N438" i="5" s="1"/>
  <c r="L438" i="5"/>
  <c r="M136" i="5"/>
  <c r="N136" i="5" s="1"/>
  <c r="L136" i="5"/>
  <c r="M342" i="5"/>
  <c r="N342" i="5" s="1"/>
  <c r="L342" i="5"/>
  <c r="P410" i="5"/>
  <c r="Q410" i="5" s="1"/>
  <c r="P259" i="5"/>
  <c r="P94" i="5"/>
  <c r="P204" i="5"/>
  <c r="P52" i="5"/>
  <c r="P424" i="5"/>
  <c r="H12" i="6"/>
  <c r="O232" i="5"/>
  <c r="O287" i="5"/>
  <c r="O12" i="5"/>
  <c r="O66" i="5"/>
  <c r="O38" i="5"/>
  <c r="R149" i="5"/>
  <c r="Q149" i="5"/>
  <c r="F443" i="5" l="1"/>
  <c r="I443" i="5" s="1"/>
  <c r="Q178" i="5"/>
  <c r="O274" i="5"/>
  <c r="P274" i="5" s="1"/>
  <c r="Q274" i="5" s="1"/>
  <c r="F469" i="5"/>
  <c r="I469" i="5" s="1"/>
  <c r="F456" i="5"/>
  <c r="I456" i="5" s="1"/>
  <c r="F495" i="5"/>
  <c r="I495" i="5" s="1"/>
  <c r="L466" i="5"/>
  <c r="M466" i="5"/>
  <c r="N466" i="5" s="1"/>
  <c r="F482" i="5"/>
  <c r="I482" i="5" s="1"/>
  <c r="S451" i="5"/>
  <c r="G452" i="5" s="1"/>
  <c r="H452" i="5" s="1"/>
  <c r="K452" i="5" s="1"/>
  <c r="O314" i="5"/>
  <c r="P314" i="5" s="1"/>
  <c r="L329" i="5"/>
  <c r="M329" i="5"/>
  <c r="N329" i="5" s="1"/>
  <c r="L397" i="5"/>
  <c r="M397" i="5"/>
  <c r="N397" i="5" s="1"/>
  <c r="L81" i="5"/>
  <c r="M81" i="5"/>
  <c r="N81" i="5" s="1"/>
  <c r="M219" i="5"/>
  <c r="N219" i="5" s="1"/>
  <c r="L219" i="5"/>
  <c r="M356" i="5"/>
  <c r="N356" i="5" s="1"/>
  <c r="L356" i="5"/>
  <c r="M110" i="5"/>
  <c r="N110" i="5" s="1"/>
  <c r="L110" i="5"/>
  <c r="S369" i="5"/>
  <c r="G370" i="5" s="1"/>
  <c r="H370" i="5" s="1"/>
  <c r="K370" i="5" s="1"/>
  <c r="S149" i="5"/>
  <c r="G150" i="5" s="1"/>
  <c r="H150" i="5" s="1"/>
  <c r="K150" i="5" s="1"/>
  <c r="S245" i="5"/>
  <c r="G246" i="5" s="1"/>
  <c r="H246" i="5" s="1"/>
  <c r="K246" i="5" s="1"/>
  <c r="S178" i="5"/>
  <c r="G179" i="5" s="1"/>
  <c r="H179" i="5" s="1"/>
  <c r="K179" i="5" s="1"/>
  <c r="S410" i="5"/>
  <c r="G411" i="5" s="1"/>
  <c r="H411" i="5" s="1"/>
  <c r="K411" i="5" s="1"/>
  <c r="L192" i="5"/>
  <c r="M192" i="5"/>
  <c r="N192" i="5" s="1"/>
  <c r="F508" i="5"/>
  <c r="I508" i="5" s="1"/>
  <c r="I507" i="5"/>
  <c r="M507" i="5" s="1"/>
  <c r="N507" i="5" s="1"/>
  <c r="L493" i="5"/>
  <c r="O493" i="5" s="1"/>
  <c r="P493" i="5" s="1"/>
  <c r="Q493" i="5" s="1"/>
  <c r="Q301" i="5"/>
  <c r="Q123" i="5"/>
  <c r="R410" i="5"/>
  <c r="P163" i="5"/>
  <c r="P479" i="5"/>
  <c r="R479" i="5" s="1"/>
  <c r="R383" i="5"/>
  <c r="Q383" i="5"/>
  <c r="F392" i="5"/>
  <c r="I392" i="5" s="1"/>
  <c r="F405" i="5"/>
  <c r="I405" i="5" s="1"/>
  <c r="F418" i="5"/>
  <c r="I418" i="5" s="1"/>
  <c r="F431" i="5"/>
  <c r="I431" i="5" s="1"/>
  <c r="F444" i="5"/>
  <c r="I444" i="5" s="1"/>
  <c r="F483" i="5"/>
  <c r="I483" i="5" s="1"/>
  <c r="F496" i="5"/>
  <c r="I496" i="5" s="1"/>
  <c r="G521" i="5"/>
  <c r="H521" i="5" s="1"/>
  <c r="K521" i="5" s="1"/>
  <c r="F521" i="5"/>
  <c r="D535" i="5"/>
  <c r="B536" i="5"/>
  <c r="B537" i="5" s="1"/>
  <c r="B538" i="5" s="1"/>
  <c r="B539" i="5" s="1"/>
  <c r="B540" i="5" s="1"/>
  <c r="B541" i="5" s="1"/>
  <c r="B542" i="5" s="1"/>
  <c r="B543" i="5" s="1"/>
  <c r="B544" i="5" s="1"/>
  <c r="B545" i="5" s="1"/>
  <c r="B546" i="5" s="1"/>
  <c r="B549" i="5"/>
  <c r="C549" i="5" s="1"/>
  <c r="E549" i="5" s="1"/>
  <c r="A563" i="5"/>
  <c r="M12" i="6"/>
  <c r="N12" i="6" s="1"/>
  <c r="K12" i="6"/>
  <c r="L12" i="6" s="1"/>
  <c r="M24" i="5"/>
  <c r="N24" i="5" s="1"/>
  <c r="L24" i="5"/>
  <c r="V24" i="5" s="1"/>
  <c r="P232" i="5"/>
  <c r="P287" i="5"/>
  <c r="P12" i="5"/>
  <c r="P66" i="5"/>
  <c r="P38" i="5"/>
  <c r="O438" i="5"/>
  <c r="O136" i="5"/>
  <c r="O342" i="5"/>
  <c r="R259" i="5"/>
  <c r="Q259" i="5"/>
  <c r="R94" i="5"/>
  <c r="Q94" i="5"/>
  <c r="R204" i="5"/>
  <c r="Q204" i="5"/>
  <c r="R52" i="5"/>
  <c r="Q52" i="5"/>
  <c r="Q424" i="5"/>
  <c r="R424" i="5"/>
  <c r="F470" i="5" l="1"/>
  <c r="I470" i="5" s="1"/>
  <c r="F457" i="5"/>
  <c r="I457" i="5" s="1"/>
  <c r="M452" i="5"/>
  <c r="N452" i="5" s="1"/>
  <c r="L452" i="5"/>
  <c r="O452" i="5" s="1"/>
  <c r="Q314" i="5"/>
  <c r="S314" i="5" s="1"/>
  <c r="G315" i="5" s="1"/>
  <c r="H315" i="5" s="1"/>
  <c r="K315" i="5" s="1"/>
  <c r="F509" i="5"/>
  <c r="I509" i="5" s="1"/>
  <c r="O356" i="5"/>
  <c r="P356" i="5" s="1"/>
  <c r="O81" i="5"/>
  <c r="P81" i="5" s="1"/>
  <c r="R81" i="5" s="1"/>
  <c r="O329" i="5"/>
  <c r="P329" i="5" s="1"/>
  <c r="O110" i="5"/>
  <c r="P110" i="5" s="1"/>
  <c r="Q110" i="5" s="1"/>
  <c r="S110" i="5" s="1"/>
  <c r="G111" i="5" s="1"/>
  <c r="H111" i="5" s="1"/>
  <c r="K111" i="5" s="1"/>
  <c r="O219" i="5"/>
  <c r="P219" i="5" s="1"/>
  <c r="Q219" i="5" s="1"/>
  <c r="S219" i="5" s="1"/>
  <c r="G220" i="5" s="1"/>
  <c r="H220" i="5" s="1"/>
  <c r="K220" i="5" s="1"/>
  <c r="O397" i="5"/>
  <c r="P397" i="5" s="1"/>
  <c r="Q397" i="5" s="1"/>
  <c r="O466" i="5"/>
  <c r="P466" i="5" s="1"/>
  <c r="R314" i="5"/>
  <c r="S493" i="5"/>
  <c r="G494" i="5" s="1"/>
  <c r="H494" i="5" s="1"/>
  <c r="K494" i="5" s="1"/>
  <c r="O192" i="5"/>
  <c r="P192" i="5" s="1"/>
  <c r="R192" i="5" s="1"/>
  <c r="M246" i="5"/>
  <c r="N246" i="5" s="1"/>
  <c r="L246" i="5"/>
  <c r="M179" i="5"/>
  <c r="N179" i="5" s="1"/>
  <c r="L179" i="5"/>
  <c r="L370" i="5"/>
  <c r="M370" i="5"/>
  <c r="N370" i="5" s="1"/>
  <c r="S274" i="5"/>
  <c r="G275" i="5" s="1"/>
  <c r="H275" i="5" s="1"/>
  <c r="K275" i="5" s="1"/>
  <c r="S204" i="5"/>
  <c r="G205" i="5" s="1"/>
  <c r="H205" i="5" s="1"/>
  <c r="K205" i="5" s="1"/>
  <c r="S259" i="5"/>
  <c r="G260" i="5" s="1"/>
  <c r="H260" i="5" s="1"/>
  <c r="K260" i="5" s="1"/>
  <c r="S123" i="5"/>
  <c r="G124" i="5" s="1"/>
  <c r="H124" i="5" s="1"/>
  <c r="K124" i="5" s="1"/>
  <c r="S301" i="5"/>
  <c r="G302" i="5" s="1"/>
  <c r="H302" i="5" s="1"/>
  <c r="K302" i="5" s="1"/>
  <c r="S424" i="5"/>
  <c r="G425" i="5" s="1"/>
  <c r="H425" i="5" s="1"/>
  <c r="K425" i="5" s="1"/>
  <c r="S52" i="5"/>
  <c r="G53" i="5" s="1"/>
  <c r="H53" i="5" s="1"/>
  <c r="K53" i="5" s="1"/>
  <c r="S94" i="5"/>
  <c r="G95" i="5" s="1"/>
  <c r="H95" i="5" s="1"/>
  <c r="K95" i="5" s="1"/>
  <c r="S383" i="5"/>
  <c r="G384" i="5" s="1"/>
  <c r="H384" i="5" s="1"/>
  <c r="K384" i="5" s="1"/>
  <c r="F522" i="5"/>
  <c r="I522" i="5" s="1"/>
  <c r="I521" i="5"/>
  <c r="M521" i="5" s="1"/>
  <c r="N521" i="5" s="1"/>
  <c r="L507" i="5"/>
  <c r="O507" i="5" s="1"/>
  <c r="P507" i="5" s="1"/>
  <c r="Q507" i="5" s="1"/>
  <c r="R274" i="5"/>
  <c r="Q479" i="5"/>
  <c r="R493" i="5"/>
  <c r="Q163" i="5"/>
  <c r="R163" i="5"/>
  <c r="R38" i="5"/>
  <c r="Q38" i="5"/>
  <c r="F406" i="5"/>
  <c r="I406" i="5" s="1"/>
  <c r="F419" i="5"/>
  <c r="I419" i="5" s="1"/>
  <c r="F432" i="5"/>
  <c r="I432" i="5" s="1"/>
  <c r="F445" i="5"/>
  <c r="I445" i="5" s="1"/>
  <c r="F458" i="5"/>
  <c r="I458" i="5" s="1"/>
  <c r="F471" i="5"/>
  <c r="I471" i="5" s="1"/>
  <c r="F484" i="5"/>
  <c r="I484" i="5" s="1"/>
  <c r="F497" i="5"/>
  <c r="I497" i="5" s="1"/>
  <c r="F510" i="5"/>
  <c r="I510" i="5" s="1"/>
  <c r="G535" i="5"/>
  <c r="H535" i="5" s="1"/>
  <c r="K535" i="5" s="1"/>
  <c r="F535" i="5"/>
  <c r="D549" i="5"/>
  <c r="B550" i="5"/>
  <c r="B551" i="5" s="1"/>
  <c r="B552" i="5" s="1"/>
  <c r="B553" i="5" s="1"/>
  <c r="B554" i="5" s="1"/>
  <c r="B555" i="5" s="1"/>
  <c r="B556" i="5" s="1"/>
  <c r="B557" i="5" s="1"/>
  <c r="B558" i="5" s="1"/>
  <c r="B559" i="5" s="1"/>
  <c r="B560" i="5" s="1"/>
  <c r="B563" i="5"/>
  <c r="C563" i="5" s="1"/>
  <c r="E563" i="5" s="1"/>
  <c r="A577" i="5"/>
  <c r="M411" i="5"/>
  <c r="N411" i="5" s="1"/>
  <c r="L411" i="5"/>
  <c r="M150" i="5"/>
  <c r="N150" i="5" s="1"/>
  <c r="L150" i="5"/>
  <c r="P438" i="5"/>
  <c r="Q438" i="5" s="1"/>
  <c r="P136" i="5"/>
  <c r="P342" i="5"/>
  <c r="O12" i="6"/>
  <c r="O24" i="5"/>
  <c r="R232" i="5"/>
  <c r="Q232" i="5"/>
  <c r="R287" i="5"/>
  <c r="Q287" i="5"/>
  <c r="R12" i="5"/>
  <c r="Q12" i="5"/>
  <c r="S12" i="5" s="1"/>
  <c r="R66" i="5"/>
  <c r="Q66" i="5"/>
  <c r="S66" i="5" s="1"/>
  <c r="M384" i="5" l="1"/>
  <c r="N384" i="5" s="1"/>
  <c r="M302" i="5"/>
  <c r="N302" i="5" s="1"/>
  <c r="Q81" i="5"/>
  <c r="S81" i="5" s="1"/>
  <c r="G82" i="5" s="1"/>
  <c r="H82" i="5" s="1"/>
  <c r="K82" i="5" s="1"/>
  <c r="F523" i="5"/>
  <c r="I523" i="5" s="1"/>
  <c r="R219" i="5"/>
  <c r="R110" i="5"/>
  <c r="O370" i="5"/>
  <c r="P370" i="5" s="1"/>
  <c r="O246" i="5"/>
  <c r="P246" i="5" s="1"/>
  <c r="Q466" i="5"/>
  <c r="R466" i="5"/>
  <c r="O179" i="5"/>
  <c r="P179" i="5" s="1"/>
  <c r="Q192" i="5"/>
  <c r="S192" i="5" s="1"/>
  <c r="G193" i="5" s="1"/>
  <c r="H193" i="5" s="1"/>
  <c r="K193" i="5" s="1"/>
  <c r="L494" i="5"/>
  <c r="M494" i="5"/>
  <c r="N494" i="5" s="1"/>
  <c r="S479" i="5"/>
  <c r="G480" i="5" s="1"/>
  <c r="H480" i="5" s="1"/>
  <c r="K480" i="5" s="1"/>
  <c r="S507" i="5"/>
  <c r="G508" i="5" s="1"/>
  <c r="H508" i="5" s="1"/>
  <c r="K508" i="5" s="1"/>
  <c r="M124" i="5"/>
  <c r="N124" i="5" s="1"/>
  <c r="L124" i="5"/>
  <c r="L275" i="5"/>
  <c r="M275" i="5"/>
  <c r="N275" i="5" s="1"/>
  <c r="M220" i="5"/>
  <c r="N220" i="5" s="1"/>
  <c r="L220" i="5"/>
  <c r="M111" i="5"/>
  <c r="N111" i="5" s="1"/>
  <c r="L111" i="5"/>
  <c r="S397" i="5"/>
  <c r="G398" i="5" s="1"/>
  <c r="H398" i="5" s="1"/>
  <c r="K398" i="5" s="1"/>
  <c r="S232" i="5"/>
  <c r="G233" i="5" s="1"/>
  <c r="H233" i="5" s="1"/>
  <c r="K233" i="5" s="1"/>
  <c r="L384" i="5"/>
  <c r="O384" i="5" s="1"/>
  <c r="S466" i="5"/>
  <c r="G467" i="5" s="1"/>
  <c r="H467" i="5" s="1"/>
  <c r="K467" i="5" s="1"/>
  <c r="L302" i="5"/>
  <c r="S38" i="5"/>
  <c r="G39" i="5" s="1"/>
  <c r="H39" i="5" s="1"/>
  <c r="K39" i="5" s="1"/>
  <c r="S163" i="5"/>
  <c r="G164" i="5" s="1"/>
  <c r="H164" i="5" s="1"/>
  <c r="K164" i="5" s="1"/>
  <c r="S287" i="5"/>
  <c r="G288" i="5" s="1"/>
  <c r="H288" i="5" s="1"/>
  <c r="K288" i="5" s="1"/>
  <c r="S438" i="5"/>
  <c r="G439" i="5" s="1"/>
  <c r="H439" i="5" s="1"/>
  <c r="K439" i="5" s="1"/>
  <c r="G13" i="5"/>
  <c r="H13" i="5" s="1"/>
  <c r="K13" i="5" s="1"/>
  <c r="G67" i="5"/>
  <c r="H67" i="5" s="1"/>
  <c r="K67" i="5" s="1"/>
  <c r="F536" i="5"/>
  <c r="I536" i="5" s="1"/>
  <c r="I535" i="5"/>
  <c r="M535" i="5" s="1"/>
  <c r="N535" i="5" s="1"/>
  <c r="L521" i="5"/>
  <c r="O521" i="5" s="1"/>
  <c r="P521" i="5" s="1"/>
  <c r="Q521" i="5" s="1"/>
  <c r="O411" i="5"/>
  <c r="P411" i="5" s="1"/>
  <c r="R438" i="5"/>
  <c r="R397" i="5"/>
  <c r="R507" i="5"/>
  <c r="P452" i="5"/>
  <c r="R452" i="5" s="1"/>
  <c r="M425" i="5"/>
  <c r="N425" i="5" s="1"/>
  <c r="L425" i="5"/>
  <c r="Q342" i="5"/>
  <c r="R342" i="5"/>
  <c r="F420" i="5"/>
  <c r="I420" i="5" s="1"/>
  <c r="F433" i="5"/>
  <c r="I433" i="5" s="1"/>
  <c r="F446" i="5"/>
  <c r="I446" i="5" s="1"/>
  <c r="F459" i="5"/>
  <c r="I459" i="5" s="1"/>
  <c r="F472" i="5"/>
  <c r="I472" i="5" s="1"/>
  <c r="F485" i="5"/>
  <c r="I485" i="5" s="1"/>
  <c r="F498" i="5"/>
  <c r="I498" i="5" s="1"/>
  <c r="F511" i="5"/>
  <c r="I511" i="5" s="1"/>
  <c r="G549" i="5"/>
  <c r="H549" i="5" s="1"/>
  <c r="K549" i="5" s="1"/>
  <c r="F549" i="5"/>
  <c r="D563" i="5"/>
  <c r="B564" i="5"/>
  <c r="B565" i="5" s="1"/>
  <c r="B566" i="5" s="1"/>
  <c r="B567" i="5" s="1"/>
  <c r="B568" i="5" s="1"/>
  <c r="B569" i="5" s="1"/>
  <c r="B570" i="5" s="1"/>
  <c r="B571" i="5" s="1"/>
  <c r="B572" i="5" s="1"/>
  <c r="B573" i="5" s="1"/>
  <c r="B574" i="5" s="1"/>
  <c r="B577" i="5"/>
  <c r="C577" i="5" s="1"/>
  <c r="E577" i="5" s="1"/>
  <c r="A591" i="5"/>
  <c r="M315" i="5"/>
  <c r="N315" i="5" s="1"/>
  <c r="L315" i="5"/>
  <c r="M260" i="5"/>
  <c r="N260" i="5" s="1"/>
  <c r="L260" i="5"/>
  <c r="M95" i="5"/>
  <c r="N95" i="5" s="1"/>
  <c r="L95" i="5"/>
  <c r="M205" i="5"/>
  <c r="N205" i="5" s="1"/>
  <c r="L205" i="5"/>
  <c r="M53" i="5"/>
  <c r="N53" i="5" s="1"/>
  <c r="L53" i="5"/>
  <c r="P12" i="6"/>
  <c r="P24" i="5"/>
  <c r="O150" i="5"/>
  <c r="R356" i="5"/>
  <c r="Q356" i="5"/>
  <c r="R329" i="5"/>
  <c r="Q329" i="5"/>
  <c r="R136" i="5"/>
  <c r="Q136" i="5"/>
  <c r="O302" i="5" l="1"/>
  <c r="P302" i="5" s="1"/>
  <c r="Q302" i="5" s="1"/>
  <c r="L164" i="5"/>
  <c r="M82" i="5"/>
  <c r="N82" i="5" s="1"/>
  <c r="L82" i="5"/>
  <c r="F537" i="5"/>
  <c r="I537" i="5" s="1"/>
  <c r="F524" i="5"/>
  <c r="I524" i="5" s="1"/>
  <c r="O124" i="5"/>
  <c r="P124" i="5" s="1"/>
  <c r="R124" i="5" s="1"/>
  <c r="O494" i="5"/>
  <c r="P494" i="5" s="1"/>
  <c r="Q494" i="5" s="1"/>
  <c r="S494" i="5" s="1"/>
  <c r="G495" i="5" s="1"/>
  <c r="H495" i="5" s="1"/>
  <c r="K495" i="5" s="1"/>
  <c r="O220" i="5"/>
  <c r="P220" i="5" s="1"/>
  <c r="O275" i="5"/>
  <c r="P275" i="5" s="1"/>
  <c r="R275" i="5" s="1"/>
  <c r="L480" i="5"/>
  <c r="M480" i="5"/>
  <c r="N480" i="5" s="1"/>
  <c r="M508" i="5"/>
  <c r="N508" i="5" s="1"/>
  <c r="L508" i="5"/>
  <c r="S521" i="5"/>
  <c r="G522" i="5" s="1"/>
  <c r="H522" i="5" s="1"/>
  <c r="K522" i="5" s="1"/>
  <c r="O111" i="5"/>
  <c r="P111" i="5" s="1"/>
  <c r="M467" i="5"/>
  <c r="N467" i="5" s="1"/>
  <c r="L467" i="5"/>
  <c r="L193" i="5"/>
  <c r="M193" i="5"/>
  <c r="N193" i="5" s="1"/>
  <c r="L39" i="5"/>
  <c r="M39" i="5"/>
  <c r="N39" i="5" s="1"/>
  <c r="M398" i="5"/>
  <c r="N398" i="5" s="1"/>
  <c r="L398" i="5"/>
  <c r="S302" i="5"/>
  <c r="G303" i="5" s="1"/>
  <c r="H303" i="5" s="1"/>
  <c r="K303" i="5" s="1"/>
  <c r="S356" i="5"/>
  <c r="G357" i="5" s="1"/>
  <c r="H357" i="5" s="1"/>
  <c r="K357" i="5" s="1"/>
  <c r="M164" i="5"/>
  <c r="N164" i="5" s="1"/>
  <c r="S136" i="5"/>
  <c r="G137" i="5" s="1"/>
  <c r="H137" i="5" s="1"/>
  <c r="K137" i="5" s="1"/>
  <c r="S342" i="5"/>
  <c r="G343" i="5" s="1"/>
  <c r="H343" i="5" s="1"/>
  <c r="K343" i="5" s="1"/>
  <c r="S329" i="5"/>
  <c r="G330" i="5" s="1"/>
  <c r="H330" i="5" s="1"/>
  <c r="K330" i="5" s="1"/>
  <c r="R302" i="5"/>
  <c r="F550" i="5"/>
  <c r="I550" i="5" s="1"/>
  <c r="I549" i="5"/>
  <c r="M549" i="5" s="1"/>
  <c r="N549" i="5" s="1"/>
  <c r="L535" i="5"/>
  <c r="O535" i="5" s="1"/>
  <c r="P535" i="5" s="1"/>
  <c r="Q535" i="5" s="1"/>
  <c r="Q452" i="5"/>
  <c r="O53" i="5"/>
  <c r="P53" i="5" s="1"/>
  <c r="R521" i="5"/>
  <c r="O425" i="5"/>
  <c r="P425" i="5" s="1"/>
  <c r="Q179" i="5"/>
  <c r="R179" i="5"/>
  <c r="R411" i="5"/>
  <c r="Q411" i="5"/>
  <c r="Q370" i="5"/>
  <c r="R370" i="5"/>
  <c r="F434" i="5"/>
  <c r="I434" i="5" s="1"/>
  <c r="F447" i="5"/>
  <c r="I447" i="5" s="1"/>
  <c r="F460" i="5"/>
  <c r="I460" i="5" s="1"/>
  <c r="F473" i="5"/>
  <c r="I473" i="5" s="1"/>
  <c r="F486" i="5"/>
  <c r="I486" i="5" s="1"/>
  <c r="F499" i="5"/>
  <c r="I499" i="5" s="1"/>
  <c r="F512" i="5"/>
  <c r="I512" i="5" s="1"/>
  <c r="F525" i="5"/>
  <c r="I525" i="5" s="1"/>
  <c r="F538" i="5"/>
  <c r="I538" i="5" s="1"/>
  <c r="G563" i="5"/>
  <c r="H563" i="5" s="1"/>
  <c r="K563" i="5" s="1"/>
  <c r="F563" i="5"/>
  <c r="D577" i="5"/>
  <c r="B578" i="5"/>
  <c r="B579" i="5" s="1"/>
  <c r="B580" i="5" s="1"/>
  <c r="B581" i="5" s="1"/>
  <c r="B582" i="5" s="1"/>
  <c r="B583" i="5" s="1"/>
  <c r="B584" i="5" s="1"/>
  <c r="B585" i="5" s="1"/>
  <c r="B586" i="5" s="1"/>
  <c r="B587" i="5" s="1"/>
  <c r="B588" i="5" s="1"/>
  <c r="B591" i="5"/>
  <c r="C591" i="5" s="1"/>
  <c r="E591" i="5" s="1"/>
  <c r="A605" i="5"/>
  <c r="B605" i="5" s="1"/>
  <c r="C605" i="5" s="1"/>
  <c r="E605" i="5" s="1"/>
  <c r="M439" i="5"/>
  <c r="N439" i="5" s="1"/>
  <c r="L439" i="5"/>
  <c r="M233" i="5"/>
  <c r="N233" i="5" s="1"/>
  <c r="L233" i="5"/>
  <c r="M288" i="5"/>
  <c r="N288" i="5" s="1"/>
  <c r="L288" i="5"/>
  <c r="M13" i="5"/>
  <c r="N13" i="5" s="1"/>
  <c r="L13" i="5"/>
  <c r="M67" i="5"/>
  <c r="N67" i="5" s="1"/>
  <c r="L67" i="5"/>
  <c r="P384" i="5"/>
  <c r="P150" i="5"/>
  <c r="O315" i="5"/>
  <c r="O260" i="5"/>
  <c r="O95" i="5"/>
  <c r="O205" i="5"/>
  <c r="R246" i="5"/>
  <c r="Q246" i="5"/>
  <c r="R12" i="6"/>
  <c r="Q12" i="6"/>
  <c r="S12" i="6" s="1"/>
  <c r="G13" i="6" s="1"/>
  <c r="R24" i="5"/>
  <c r="Q24" i="5"/>
  <c r="O82" i="5" l="1"/>
  <c r="O164" i="5"/>
  <c r="R220" i="5"/>
  <c r="O39" i="5"/>
  <c r="P39" i="5" s="1"/>
  <c r="Q275" i="5"/>
  <c r="S275" i="5" s="1"/>
  <c r="G276" i="5" s="1"/>
  <c r="H276" i="5" s="1"/>
  <c r="K276" i="5" s="1"/>
  <c r="R494" i="5"/>
  <c r="F551" i="5"/>
  <c r="I551" i="5" s="1"/>
  <c r="Q220" i="5"/>
  <c r="S220" i="5" s="1"/>
  <c r="G221" i="5" s="1"/>
  <c r="H221" i="5" s="1"/>
  <c r="K221" i="5" s="1"/>
  <c r="R111" i="5"/>
  <c r="Q111" i="5"/>
  <c r="S111" i="5" s="1"/>
  <c r="G112" i="5" s="1"/>
  <c r="H112" i="5" s="1"/>
  <c r="K112" i="5" s="1"/>
  <c r="O398" i="5"/>
  <c r="P398" i="5" s="1"/>
  <c r="O193" i="5"/>
  <c r="O480" i="5"/>
  <c r="P480" i="5" s="1"/>
  <c r="Q480" i="5" s="1"/>
  <c r="S480" i="5" s="1"/>
  <c r="G481" i="5" s="1"/>
  <c r="H481" i="5" s="1"/>
  <c r="K481" i="5" s="1"/>
  <c r="O508" i="5"/>
  <c r="P508" i="5" s="1"/>
  <c r="L343" i="5"/>
  <c r="M343" i="5"/>
  <c r="N343" i="5" s="1"/>
  <c r="L522" i="5"/>
  <c r="M522" i="5"/>
  <c r="N522" i="5" s="1"/>
  <c r="L549" i="5"/>
  <c r="O549" i="5" s="1"/>
  <c r="P549" i="5" s="1"/>
  <c r="S535" i="5"/>
  <c r="G536" i="5" s="1"/>
  <c r="H536" i="5" s="1"/>
  <c r="K536" i="5" s="1"/>
  <c r="O467" i="5"/>
  <c r="P467" i="5" s="1"/>
  <c r="Q467" i="5" s="1"/>
  <c r="M495" i="5"/>
  <c r="N495" i="5" s="1"/>
  <c r="L495" i="5"/>
  <c r="L303" i="5"/>
  <c r="M303" i="5"/>
  <c r="N303" i="5" s="1"/>
  <c r="S370" i="5"/>
  <c r="G371" i="5" s="1"/>
  <c r="H371" i="5" s="1"/>
  <c r="K371" i="5" s="1"/>
  <c r="S411" i="5"/>
  <c r="G412" i="5" s="1"/>
  <c r="H412" i="5" s="1"/>
  <c r="K412" i="5" s="1"/>
  <c r="P193" i="5"/>
  <c r="Q193" i="5" s="1"/>
  <c r="S452" i="5"/>
  <c r="G453" i="5" s="1"/>
  <c r="H453" i="5" s="1"/>
  <c r="K453" i="5" s="1"/>
  <c r="S24" i="5"/>
  <c r="G25" i="5" s="1"/>
  <c r="H25" i="5" s="1"/>
  <c r="K25" i="5" s="1"/>
  <c r="S246" i="5"/>
  <c r="G247" i="5" s="1"/>
  <c r="H247" i="5" s="1"/>
  <c r="K247" i="5" s="1"/>
  <c r="S179" i="5"/>
  <c r="G180" i="5" s="1"/>
  <c r="H180" i="5" s="1"/>
  <c r="K180" i="5" s="1"/>
  <c r="F564" i="5"/>
  <c r="I564" i="5" s="1"/>
  <c r="I563" i="5"/>
  <c r="M563" i="5" s="1"/>
  <c r="N563" i="5" s="1"/>
  <c r="Q124" i="5"/>
  <c r="P82" i="5"/>
  <c r="R82" i="5" s="1"/>
  <c r="Q425" i="5"/>
  <c r="R535" i="5"/>
  <c r="R425" i="5"/>
  <c r="P164" i="5"/>
  <c r="R164" i="5" s="1"/>
  <c r="R53" i="5"/>
  <c r="Q53" i="5"/>
  <c r="F448" i="5"/>
  <c r="I448" i="5" s="1"/>
  <c r="F461" i="5"/>
  <c r="I461" i="5" s="1"/>
  <c r="F474" i="5"/>
  <c r="I474" i="5" s="1"/>
  <c r="F487" i="5"/>
  <c r="I487" i="5" s="1"/>
  <c r="F500" i="5"/>
  <c r="I500" i="5" s="1"/>
  <c r="F513" i="5"/>
  <c r="I513" i="5" s="1"/>
  <c r="F526" i="5"/>
  <c r="I526" i="5" s="1"/>
  <c r="F539" i="5"/>
  <c r="I539" i="5" s="1"/>
  <c r="F552" i="5"/>
  <c r="I552" i="5" s="1"/>
  <c r="G577" i="5"/>
  <c r="H577" i="5" s="1"/>
  <c r="K577" i="5" s="1"/>
  <c r="F577" i="5"/>
  <c r="D591" i="5"/>
  <c r="B592" i="5"/>
  <c r="B593" i="5" s="1"/>
  <c r="B594" i="5" s="1"/>
  <c r="B595" i="5" s="1"/>
  <c r="B596" i="5" s="1"/>
  <c r="B597" i="5" s="1"/>
  <c r="B598" i="5" s="1"/>
  <c r="B599" i="5" s="1"/>
  <c r="B600" i="5" s="1"/>
  <c r="B601" i="5" s="1"/>
  <c r="B602" i="5" s="1"/>
  <c r="D605" i="5"/>
  <c r="B606" i="5"/>
  <c r="B607" i="5" s="1"/>
  <c r="B608" i="5" s="1"/>
  <c r="B609" i="5" s="1"/>
  <c r="B610" i="5" s="1"/>
  <c r="B611" i="5" s="1"/>
  <c r="B612" i="5" s="1"/>
  <c r="B613" i="5" s="1"/>
  <c r="B614" i="5" s="1"/>
  <c r="B615" i="5" s="1"/>
  <c r="B616" i="5" s="1"/>
  <c r="M357" i="5"/>
  <c r="N357" i="5" s="1"/>
  <c r="L357" i="5"/>
  <c r="M330" i="5"/>
  <c r="N330" i="5" s="1"/>
  <c r="L330" i="5"/>
  <c r="M137" i="5"/>
  <c r="N137" i="5" s="1"/>
  <c r="L137" i="5"/>
  <c r="P315" i="5"/>
  <c r="P260" i="5"/>
  <c r="P95" i="5"/>
  <c r="P205" i="5"/>
  <c r="H13" i="6"/>
  <c r="O439" i="5"/>
  <c r="O233" i="5"/>
  <c r="O288" i="5"/>
  <c r="O13" i="5"/>
  <c r="O67" i="5"/>
  <c r="R384" i="5"/>
  <c r="Q384" i="5"/>
  <c r="R150" i="5"/>
  <c r="Q150" i="5"/>
  <c r="M453" i="5" l="1"/>
  <c r="N453" i="5" s="1"/>
  <c r="M276" i="5"/>
  <c r="N276" i="5" s="1"/>
  <c r="L276" i="5"/>
  <c r="O276" i="5" s="1"/>
  <c r="R480" i="5"/>
  <c r="F565" i="5"/>
  <c r="I565" i="5" s="1"/>
  <c r="Q508" i="5"/>
  <c r="S508" i="5" s="1"/>
  <c r="G509" i="5" s="1"/>
  <c r="H509" i="5" s="1"/>
  <c r="K509" i="5" s="1"/>
  <c r="O343" i="5"/>
  <c r="P343" i="5" s="1"/>
  <c r="O495" i="5"/>
  <c r="P495" i="5" s="1"/>
  <c r="O522" i="5"/>
  <c r="P522" i="5" s="1"/>
  <c r="Q522" i="5" s="1"/>
  <c r="S522" i="5" s="1"/>
  <c r="G523" i="5" s="1"/>
  <c r="H523" i="5" s="1"/>
  <c r="K523" i="5" s="1"/>
  <c r="R193" i="5"/>
  <c r="L563" i="5"/>
  <c r="O563" i="5" s="1"/>
  <c r="P563" i="5" s="1"/>
  <c r="R563" i="5" s="1"/>
  <c r="O303" i="5"/>
  <c r="R508" i="5"/>
  <c r="L180" i="5"/>
  <c r="M180" i="5"/>
  <c r="N180" i="5" s="1"/>
  <c r="L481" i="5"/>
  <c r="M481" i="5"/>
  <c r="N481" i="5" s="1"/>
  <c r="M536" i="5"/>
  <c r="N536" i="5" s="1"/>
  <c r="L536" i="5"/>
  <c r="M221" i="5"/>
  <c r="N221" i="5" s="1"/>
  <c r="L221" i="5"/>
  <c r="M112" i="5"/>
  <c r="N112" i="5" s="1"/>
  <c r="L112" i="5"/>
  <c r="S193" i="5"/>
  <c r="G194" i="5" s="1"/>
  <c r="H194" i="5" s="1"/>
  <c r="K194" i="5" s="1"/>
  <c r="M412" i="5"/>
  <c r="N412" i="5" s="1"/>
  <c r="L412" i="5"/>
  <c r="M371" i="5"/>
  <c r="N371" i="5" s="1"/>
  <c r="L371" i="5"/>
  <c r="S150" i="5"/>
  <c r="G151" i="5" s="1"/>
  <c r="H151" i="5" s="1"/>
  <c r="K151" i="5" s="1"/>
  <c r="S467" i="5"/>
  <c r="G468" i="5" s="1"/>
  <c r="H468" i="5" s="1"/>
  <c r="K468" i="5" s="1"/>
  <c r="S53" i="5"/>
  <c r="G54" i="5" s="1"/>
  <c r="H54" i="5" s="1"/>
  <c r="K54" i="5" s="1"/>
  <c r="S425" i="5"/>
  <c r="G426" i="5" s="1"/>
  <c r="H426" i="5" s="1"/>
  <c r="K426" i="5" s="1"/>
  <c r="S384" i="5"/>
  <c r="G385" i="5" s="1"/>
  <c r="H385" i="5" s="1"/>
  <c r="K385" i="5" s="1"/>
  <c r="S124" i="5"/>
  <c r="G125" i="5" s="1"/>
  <c r="H125" i="5" s="1"/>
  <c r="K125" i="5" s="1"/>
  <c r="L453" i="5"/>
  <c r="O453" i="5" s="1"/>
  <c r="F578" i="5"/>
  <c r="I578" i="5" s="1"/>
  <c r="I577" i="5"/>
  <c r="M577" i="5" s="1"/>
  <c r="N577" i="5" s="1"/>
  <c r="Q82" i="5"/>
  <c r="R549" i="5"/>
  <c r="Q549" i="5"/>
  <c r="Q164" i="5"/>
  <c r="R467" i="5"/>
  <c r="R315" i="5"/>
  <c r="Q315" i="5"/>
  <c r="R39" i="5"/>
  <c r="Q39" i="5"/>
  <c r="F462" i="5"/>
  <c r="I462" i="5" s="1"/>
  <c r="F475" i="5"/>
  <c r="I475" i="5" s="1"/>
  <c r="F488" i="5"/>
  <c r="I488" i="5" s="1"/>
  <c r="F501" i="5"/>
  <c r="I501" i="5" s="1"/>
  <c r="F514" i="5"/>
  <c r="I514" i="5" s="1"/>
  <c r="F527" i="5"/>
  <c r="I527" i="5" s="1"/>
  <c r="F540" i="5"/>
  <c r="I540" i="5" s="1"/>
  <c r="F553" i="5"/>
  <c r="I553" i="5" s="1"/>
  <c r="G591" i="5"/>
  <c r="H591" i="5" s="1"/>
  <c r="K591" i="5" s="1"/>
  <c r="F591" i="5"/>
  <c r="G605" i="5"/>
  <c r="H605" i="5" s="1"/>
  <c r="K605" i="5" s="1"/>
  <c r="F605" i="5"/>
  <c r="M247" i="5"/>
  <c r="N247" i="5" s="1"/>
  <c r="L247" i="5"/>
  <c r="M13" i="6"/>
  <c r="N13" i="6" s="1"/>
  <c r="K13" i="6"/>
  <c r="L13" i="6" s="1"/>
  <c r="M25" i="5"/>
  <c r="N25" i="5" s="1"/>
  <c r="L25" i="5"/>
  <c r="V25" i="5" s="1"/>
  <c r="P439" i="5"/>
  <c r="P233" i="5"/>
  <c r="P288" i="5"/>
  <c r="P13" i="5"/>
  <c r="P67" i="5"/>
  <c r="O357" i="5"/>
  <c r="O330" i="5"/>
  <c r="O137" i="5"/>
  <c r="R398" i="5"/>
  <c r="Q398" i="5"/>
  <c r="R260" i="5"/>
  <c r="Q260" i="5"/>
  <c r="R95" i="5"/>
  <c r="Q95" i="5"/>
  <c r="Q205" i="5"/>
  <c r="R205" i="5"/>
  <c r="P276" i="5" l="1"/>
  <c r="R276" i="5" s="1"/>
  <c r="M509" i="5"/>
  <c r="N509" i="5" s="1"/>
  <c r="L509" i="5"/>
  <c r="O509" i="5" s="1"/>
  <c r="P509" i="5" s="1"/>
  <c r="Q509" i="5" s="1"/>
  <c r="S509" i="5" s="1"/>
  <c r="L426" i="5"/>
  <c r="F566" i="5"/>
  <c r="I566" i="5" s="1"/>
  <c r="R522" i="5"/>
  <c r="O412" i="5"/>
  <c r="P412" i="5" s="1"/>
  <c r="Q495" i="5"/>
  <c r="S495" i="5" s="1"/>
  <c r="G496" i="5" s="1"/>
  <c r="H496" i="5" s="1"/>
  <c r="K496" i="5" s="1"/>
  <c r="R495" i="5"/>
  <c r="O112" i="5"/>
  <c r="P112" i="5" s="1"/>
  <c r="Q112" i="5" s="1"/>
  <c r="O536" i="5"/>
  <c r="P536" i="5" s="1"/>
  <c r="R536" i="5" s="1"/>
  <c r="P303" i="5"/>
  <c r="R303" i="5" s="1"/>
  <c r="O180" i="5"/>
  <c r="O221" i="5"/>
  <c r="P221" i="5" s="1"/>
  <c r="R221" i="5" s="1"/>
  <c r="O481" i="5"/>
  <c r="P481" i="5" s="1"/>
  <c r="M426" i="5"/>
  <c r="N426" i="5" s="1"/>
  <c r="O371" i="5"/>
  <c r="P371" i="5" s="1"/>
  <c r="S549" i="5"/>
  <c r="G550" i="5" s="1"/>
  <c r="H550" i="5" s="1"/>
  <c r="K550" i="5" s="1"/>
  <c r="L54" i="5"/>
  <c r="M54" i="5"/>
  <c r="N54" i="5" s="1"/>
  <c r="L125" i="5"/>
  <c r="M125" i="5"/>
  <c r="N125" i="5" s="1"/>
  <c r="L523" i="5"/>
  <c r="M523" i="5"/>
  <c r="N523" i="5" s="1"/>
  <c r="M194" i="5"/>
  <c r="N194" i="5" s="1"/>
  <c r="L194" i="5"/>
  <c r="S398" i="5"/>
  <c r="G399" i="5" s="1"/>
  <c r="H399" i="5" s="1"/>
  <c r="K399" i="5" s="1"/>
  <c r="S315" i="5"/>
  <c r="G316" i="5" s="1"/>
  <c r="H316" i="5" s="1"/>
  <c r="K316" i="5" s="1"/>
  <c r="S82" i="5"/>
  <c r="G83" i="5" s="1"/>
  <c r="H83" i="5" s="1"/>
  <c r="K83" i="5" s="1"/>
  <c r="S95" i="5"/>
  <c r="G96" i="5" s="1"/>
  <c r="H96" i="5" s="1"/>
  <c r="K96" i="5" s="1"/>
  <c r="S39" i="5"/>
  <c r="G40" i="5" s="1"/>
  <c r="H40" i="5" s="1"/>
  <c r="K40" i="5" s="1"/>
  <c r="S260" i="5"/>
  <c r="G261" i="5" s="1"/>
  <c r="H261" i="5" s="1"/>
  <c r="K261" i="5" s="1"/>
  <c r="S164" i="5"/>
  <c r="G165" i="5" s="1"/>
  <c r="H165" i="5" s="1"/>
  <c r="K165" i="5" s="1"/>
  <c r="S205" i="5"/>
  <c r="G206" i="5" s="1"/>
  <c r="H206" i="5" s="1"/>
  <c r="K206" i="5" s="1"/>
  <c r="F579" i="5"/>
  <c r="I579" i="5" s="1"/>
  <c r="F606" i="5"/>
  <c r="I606" i="5" s="1"/>
  <c r="I605" i="5"/>
  <c r="M605" i="5" s="1"/>
  <c r="N605" i="5" s="1"/>
  <c r="F592" i="5"/>
  <c r="I592" i="5" s="1"/>
  <c r="I591" i="5"/>
  <c r="M591" i="5" s="1"/>
  <c r="N591" i="5" s="1"/>
  <c r="L577" i="5"/>
  <c r="O577" i="5" s="1"/>
  <c r="P577" i="5" s="1"/>
  <c r="Q577" i="5" s="1"/>
  <c r="S577" i="5" s="1"/>
  <c r="P453" i="5"/>
  <c r="R453" i="5" s="1"/>
  <c r="Q563" i="5"/>
  <c r="F476" i="5"/>
  <c r="I476" i="5" s="1"/>
  <c r="F489" i="5"/>
  <c r="I489" i="5" s="1"/>
  <c r="F502" i="5"/>
  <c r="I502" i="5" s="1"/>
  <c r="F515" i="5"/>
  <c r="I515" i="5" s="1"/>
  <c r="F528" i="5"/>
  <c r="I528" i="5" s="1"/>
  <c r="F541" i="5"/>
  <c r="I541" i="5" s="1"/>
  <c r="F554" i="5"/>
  <c r="I554" i="5" s="1"/>
  <c r="M468" i="5"/>
  <c r="N468" i="5" s="1"/>
  <c r="L468" i="5"/>
  <c r="M385" i="5"/>
  <c r="N385" i="5" s="1"/>
  <c r="L385" i="5"/>
  <c r="M151" i="5"/>
  <c r="N151" i="5" s="1"/>
  <c r="L151" i="5"/>
  <c r="P357" i="5"/>
  <c r="P330" i="5"/>
  <c r="P137" i="5"/>
  <c r="O247" i="5"/>
  <c r="O13" i="6"/>
  <c r="O25" i="5"/>
  <c r="R439" i="5"/>
  <c r="Q439" i="5"/>
  <c r="S439" i="5" s="1"/>
  <c r="R343" i="5"/>
  <c r="Q343" i="5"/>
  <c r="S343" i="5" s="1"/>
  <c r="R233" i="5"/>
  <c r="Q233" i="5"/>
  <c r="S233" i="5" s="1"/>
  <c r="R288" i="5"/>
  <c r="Q288" i="5"/>
  <c r="S288" i="5" s="1"/>
  <c r="R13" i="5"/>
  <c r="Q13" i="5"/>
  <c r="S13" i="5" s="1"/>
  <c r="R67" i="5"/>
  <c r="Q67" i="5"/>
  <c r="S67" i="5" s="1"/>
  <c r="Q276" i="5" l="1"/>
  <c r="S276" i="5" s="1"/>
  <c r="G277" i="5" s="1"/>
  <c r="H277" i="5" s="1"/>
  <c r="K277" i="5" s="1"/>
  <c r="O426" i="5"/>
  <c r="P426" i="5" s="1"/>
  <c r="L277" i="5"/>
  <c r="L550" i="5"/>
  <c r="F567" i="5"/>
  <c r="I567" i="5" s="1"/>
  <c r="O125" i="5"/>
  <c r="P125" i="5" s="1"/>
  <c r="R125" i="5" s="1"/>
  <c r="Q303" i="5"/>
  <c r="S303" i="5" s="1"/>
  <c r="G304" i="5" s="1"/>
  <c r="H304" i="5" s="1"/>
  <c r="K304" i="5" s="1"/>
  <c r="F607" i="5"/>
  <c r="I607" i="5" s="1"/>
  <c r="F580" i="5"/>
  <c r="I580" i="5" s="1"/>
  <c r="O523" i="5"/>
  <c r="P523" i="5" s="1"/>
  <c r="Q523" i="5" s="1"/>
  <c r="S523" i="5" s="1"/>
  <c r="O54" i="5"/>
  <c r="P54" i="5" s="1"/>
  <c r="P180" i="5"/>
  <c r="R180" i="5" s="1"/>
  <c r="M550" i="5"/>
  <c r="N550" i="5" s="1"/>
  <c r="S563" i="5"/>
  <c r="G564" i="5" s="1"/>
  <c r="H564" i="5" s="1"/>
  <c r="K564" i="5" s="1"/>
  <c r="M40" i="5"/>
  <c r="N40" i="5" s="1"/>
  <c r="L40" i="5"/>
  <c r="L83" i="5"/>
  <c r="M83" i="5"/>
  <c r="N83" i="5" s="1"/>
  <c r="L165" i="5"/>
  <c r="M165" i="5"/>
  <c r="N165" i="5" s="1"/>
  <c r="M316" i="5"/>
  <c r="N316" i="5" s="1"/>
  <c r="L316" i="5"/>
  <c r="O194" i="5"/>
  <c r="S112" i="5"/>
  <c r="I64" i="1" s="1"/>
  <c r="L591" i="5"/>
  <c r="O591" i="5" s="1"/>
  <c r="P591" i="5" s="1"/>
  <c r="Q591" i="5" s="1"/>
  <c r="S591" i="5" s="1"/>
  <c r="Q453" i="5"/>
  <c r="G14" i="5"/>
  <c r="H14" i="5" s="1"/>
  <c r="K14" i="5" s="1"/>
  <c r="G68" i="5"/>
  <c r="H68" i="5" s="1"/>
  <c r="K68" i="5" s="1"/>
  <c r="L605" i="5"/>
  <c r="O605" i="5" s="1"/>
  <c r="P605" i="5" s="1"/>
  <c r="F593" i="5"/>
  <c r="I593" i="5" s="1"/>
  <c r="R509" i="5"/>
  <c r="Q536" i="5"/>
  <c r="O468" i="5"/>
  <c r="P468" i="5" s="1"/>
  <c r="Q468" i="5" s="1"/>
  <c r="S468" i="5" s="1"/>
  <c r="R577" i="5"/>
  <c r="R112" i="5"/>
  <c r="Q221" i="5"/>
  <c r="M277" i="5"/>
  <c r="N277" i="5" s="1"/>
  <c r="M206" i="5"/>
  <c r="N206" i="5" s="1"/>
  <c r="L206" i="5"/>
  <c r="G578" i="5"/>
  <c r="H578" i="5" s="1"/>
  <c r="K578" i="5" s="1"/>
  <c r="G510" i="5"/>
  <c r="H510" i="5" s="1"/>
  <c r="K510" i="5" s="1"/>
  <c r="G440" i="5"/>
  <c r="H440" i="5" s="1"/>
  <c r="K440" i="5" s="1"/>
  <c r="G344" i="5"/>
  <c r="H344" i="5" s="1"/>
  <c r="K344" i="5" s="1"/>
  <c r="G234" i="5"/>
  <c r="H234" i="5" s="1"/>
  <c r="K234" i="5" s="1"/>
  <c r="G289" i="5"/>
  <c r="H289" i="5" s="1"/>
  <c r="K289" i="5" s="1"/>
  <c r="G524" i="5"/>
  <c r="H524" i="5" s="1"/>
  <c r="K524" i="5" s="1"/>
  <c r="Q426" i="5"/>
  <c r="S426" i="5" s="1"/>
  <c r="R426" i="5"/>
  <c r="Q481" i="5"/>
  <c r="S481" i="5" s="1"/>
  <c r="R481" i="5"/>
  <c r="R330" i="5"/>
  <c r="Q330" i="5"/>
  <c r="S330" i="5" s="1"/>
  <c r="F490" i="5"/>
  <c r="I490" i="5" s="1"/>
  <c r="F503" i="5"/>
  <c r="I503" i="5" s="1"/>
  <c r="F516" i="5"/>
  <c r="I516" i="5" s="1"/>
  <c r="F529" i="5"/>
  <c r="I529" i="5" s="1"/>
  <c r="F542" i="5"/>
  <c r="I542" i="5" s="1"/>
  <c r="F555" i="5"/>
  <c r="I555" i="5" s="1"/>
  <c r="L496" i="5"/>
  <c r="M496" i="5"/>
  <c r="N496" i="5" s="1"/>
  <c r="M399" i="5"/>
  <c r="N399" i="5" s="1"/>
  <c r="L399" i="5"/>
  <c r="M261" i="5"/>
  <c r="N261" i="5" s="1"/>
  <c r="L261" i="5"/>
  <c r="M96" i="5"/>
  <c r="N96" i="5" s="1"/>
  <c r="L96" i="5"/>
  <c r="P247" i="5"/>
  <c r="P13" i="6"/>
  <c r="P25" i="5"/>
  <c r="O385" i="5"/>
  <c r="O151" i="5"/>
  <c r="R371" i="5"/>
  <c r="Q371" i="5"/>
  <c r="S371" i="5" s="1"/>
  <c r="R357" i="5"/>
  <c r="Q357" i="5"/>
  <c r="S357" i="5" s="1"/>
  <c r="R137" i="5"/>
  <c r="Q137" i="5"/>
  <c r="S137" i="5" s="1"/>
  <c r="R412" i="5"/>
  <c r="Q412" i="5"/>
  <c r="S412" i="5" s="1"/>
  <c r="F608" i="5" l="1"/>
  <c r="I608" i="5" s="1"/>
  <c r="F568" i="5"/>
  <c r="I568" i="5" s="1"/>
  <c r="M524" i="5"/>
  <c r="N524" i="5" s="1"/>
  <c r="M564" i="5"/>
  <c r="N564" i="5" s="1"/>
  <c r="L564" i="5"/>
  <c r="L304" i="5"/>
  <c r="O277" i="5"/>
  <c r="P277" i="5" s="1"/>
  <c r="O550" i="5"/>
  <c r="P550" i="5" s="1"/>
  <c r="Q550" i="5" s="1"/>
  <c r="S550" i="5" s="1"/>
  <c r="G551" i="5" s="1"/>
  <c r="H551" i="5" s="1"/>
  <c r="K551" i="5" s="1"/>
  <c r="F581" i="5"/>
  <c r="I581" i="5" s="1"/>
  <c r="M304" i="5"/>
  <c r="N304" i="5" s="1"/>
  <c r="F594" i="5"/>
  <c r="I594" i="5" s="1"/>
  <c r="Q125" i="5"/>
  <c r="S125" i="5" s="1"/>
  <c r="G126" i="5" s="1"/>
  <c r="H126" i="5" s="1"/>
  <c r="K126" i="5" s="1"/>
  <c r="R54" i="5"/>
  <c r="R523" i="5"/>
  <c r="Q54" i="5"/>
  <c r="S54" i="5" s="1"/>
  <c r="G55" i="5" s="1"/>
  <c r="H55" i="5" s="1"/>
  <c r="K55" i="5" s="1"/>
  <c r="O165" i="5"/>
  <c r="O40" i="5"/>
  <c r="P40" i="5" s="1"/>
  <c r="O316" i="5"/>
  <c r="P316" i="5" s="1"/>
  <c r="O83" i="5"/>
  <c r="P83" i="5" s="1"/>
  <c r="Q83" i="5" s="1"/>
  <c r="Q180" i="5"/>
  <c r="S180" i="5" s="1"/>
  <c r="G181" i="5" s="1"/>
  <c r="H181" i="5" s="1"/>
  <c r="K181" i="5" s="1"/>
  <c r="S221" i="5"/>
  <c r="G222" i="5" s="1"/>
  <c r="H222" i="5" s="1"/>
  <c r="K222" i="5" s="1"/>
  <c r="S453" i="5"/>
  <c r="G454" i="5" s="1"/>
  <c r="H454" i="5" s="1"/>
  <c r="K454" i="5" s="1"/>
  <c r="P194" i="5"/>
  <c r="Q194" i="5" s="1"/>
  <c r="S536" i="5"/>
  <c r="G537" i="5" s="1"/>
  <c r="H537" i="5" s="1"/>
  <c r="K537" i="5" s="1"/>
  <c r="L14" i="5"/>
  <c r="M14" i="5"/>
  <c r="N14" i="5" s="1"/>
  <c r="R468" i="5"/>
  <c r="O496" i="5"/>
  <c r="P496" i="5" s="1"/>
  <c r="R496" i="5" s="1"/>
  <c r="R591" i="5"/>
  <c r="O399" i="5"/>
  <c r="P399" i="5" s="1"/>
  <c r="R399" i="5" s="1"/>
  <c r="O206" i="5"/>
  <c r="P206" i="5" s="1"/>
  <c r="L578" i="5"/>
  <c r="M578" i="5"/>
  <c r="N578" i="5" s="1"/>
  <c r="R605" i="5"/>
  <c r="Q605" i="5"/>
  <c r="G427" i="5"/>
  <c r="H427" i="5" s="1"/>
  <c r="K427" i="5" s="1"/>
  <c r="G482" i="5"/>
  <c r="H482" i="5" s="1"/>
  <c r="K482" i="5" s="1"/>
  <c r="G331" i="5"/>
  <c r="H331" i="5" s="1"/>
  <c r="K331" i="5" s="1"/>
  <c r="G592" i="5"/>
  <c r="H592" i="5" s="1"/>
  <c r="K592" i="5" s="1"/>
  <c r="G469" i="5"/>
  <c r="H469" i="5" s="1"/>
  <c r="K469" i="5" s="1"/>
  <c r="G372" i="5"/>
  <c r="H372" i="5" s="1"/>
  <c r="K372" i="5" s="1"/>
  <c r="G358" i="5"/>
  <c r="H358" i="5" s="1"/>
  <c r="K358" i="5" s="1"/>
  <c r="G138" i="5"/>
  <c r="H138" i="5" s="1"/>
  <c r="K138" i="5" s="1"/>
  <c r="G413" i="5"/>
  <c r="H413" i="5" s="1"/>
  <c r="K413" i="5" s="1"/>
  <c r="F504" i="5"/>
  <c r="I504" i="5" s="1"/>
  <c r="F517" i="5"/>
  <c r="I517" i="5" s="1"/>
  <c r="F530" i="5"/>
  <c r="I530" i="5" s="1"/>
  <c r="F543" i="5"/>
  <c r="I543" i="5" s="1"/>
  <c r="F556" i="5"/>
  <c r="I556" i="5" s="1"/>
  <c r="F569" i="5"/>
  <c r="I569" i="5" s="1"/>
  <c r="F595" i="5"/>
  <c r="I595" i="5" s="1"/>
  <c r="F609" i="5"/>
  <c r="I609" i="5" s="1"/>
  <c r="L510" i="5"/>
  <c r="M510" i="5"/>
  <c r="N510" i="5" s="1"/>
  <c r="M440" i="5"/>
  <c r="N440" i="5" s="1"/>
  <c r="L440" i="5"/>
  <c r="M344" i="5"/>
  <c r="N344" i="5" s="1"/>
  <c r="L344" i="5"/>
  <c r="M234" i="5"/>
  <c r="N234" i="5" s="1"/>
  <c r="L234" i="5"/>
  <c r="M289" i="5"/>
  <c r="N289" i="5" s="1"/>
  <c r="L289" i="5"/>
  <c r="M68" i="5"/>
  <c r="N68" i="5" s="1"/>
  <c r="L68" i="5"/>
  <c r="P385" i="5"/>
  <c r="P151" i="5"/>
  <c r="O261" i="5"/>
  <c r="O96" i="5"/>
  <c r="R247" i="5"/>
  <c r="Q247" i="5"/>
  <c r="S247" i="5" s="1"/>
  <c r="R13" i="6"/>
  <c r="Q13" i="6"/>
  <c r="S13" i="6" s="1"/>
  <c r="G14" i="6" s="1"/>
  <c r="H14" i="6" s="1"/>
  <c r="R25" i="5"/>
  <c r="Q25" i="5"/>
  <c r="O564" i="5" l="1"/>
  <c r="P564" i="5" s="1"/>
  <c r="M126" i="5"/>
  <c r="N126" i="5" s="1"/>
  <c r="L126" i="5"/>
  <c r="O126" i="5" s="1"/>
  <c r="L592" i="5"/>
  <c r="O304" i="5"/>
  <c r="P304" i="5" s="1"/>
  <c r="R304" i="5" s="1"/>
  <c r="L331" i="5"/>
  <c r="R550" i="5"/>
  <c r="F582" i="5"/>
  <c r="I582" i="5" s="1"/>
  <c r="Q316" i="5"/>
  <c r="S316" i="5" s="1"/>
  <c r="G317" i="5" s="1"/>
  <c r="H317" i="5" s="1"/>
  <c r="K317" i="5" s="1"/>
  <c r="O14" i="5"/>
  <c r="P14" i="5" s="1"/>
  <c r="R316" i="5"/>
  <c r="R194" i="5"/>
  <c r="P165" i="5"/>
  <c r="Q165" i="5" s="1"/>
  <c r="S165" i="5" s="1"/>
  <c r="G166" i="5" s="1"/>
  <c r="H166" i="5" s="1"/>
  <c r="K166" i="5" s="1"/>
  <c r="M181" i="5"/>
  <c r="N181" i="5" s="1"/>
  <c r="L181" i="5"/>
  <c r="M537" i="5"/>
  <c r="N537" i="5" s="1"/>
  <c r="L537" i="5"/>
  <c r="S605" i="5"/>
  <c r="G606" i="5" s="1"/>
  <c r="H606" i="5" s="1"/>
  <c r="K606" i="5" s="1"/>
  <c r="R83" i="5"/>
  <c r="M222" i="5"/>
  <c r="N222" i="5" s="1"/>
  <c r="L222" i="5"/>
  <c r="S194" i="5"/>
  <c r="G195" i="5" s="1"/>
  <c r="H195" i="5" s="1"/>
  <c r="K195" i="5" s="1"/>
  <c r="M55" i="5"/>
  <c r="N55" i="5" s="1"/>
  <c r="L55" i="5"/>
  <c r="S83" i="5"/>
  <c r="G84" i="5" s="1"/>
  <c r="H84" i="5" s="1"/>
  <c r="K84" i="5" s="1"/>
  <c r="S25" i="5"/>
  <c r="G26" i="5" s="1"/>
  <c r="H26" i="5" s="1"/>
  <c r="K26" i="5" s="1"/>
  <c r="M454" i="5"/>
  <c r="N454" i="5" s="1"/>
  <c r="L454" i="5"/>
  <c r="L524" i="5"/>
  <c r="O524" i="5" s="1"/>
  <c r="M592" i="5"/>
  <c r="N592" i="5" s="1"/>
  <c r="Q496" i="5"/>
  <c r="M331" i="5"/>
  <c r="N331" i="5" s="1"/>
  <c r="Q399" i="5"/>
  <c r="O510" i="5"/>
  <c r="P510" i="5" s="1"/>
  <c r="O578" i="5"/>
  <c r="P578" i="5" s="1"/>
  <c r="L427" i="5"/>
  <c r="M427" i="5"/>
  <c r="N427" i="5" s="1"/>
  <c r="M482" i="5"/>
  <c r="N482" i="5" s="1"/>
  <c r="L482" i="5"/>
  <c r="M551" i="5"/>
  <c r="N551" i="5" s="1"/>
  <c r="L551" i="5"/>
  <c r="G248" i="5"/>
  <c r="H248" i="5" s="1"/>
  <c r="K248" i="5" s="1"/>
  <c r="Q277" i="5"/>
  <c r="S277" i="5" s="1"/>
  <c r="R277" i="5"/>
  <c r="R564" i="5"/>
  <c r="Q564" i="5"/>
  <c r="S564" i="5" s="1"/>
  <c r="F518" i="5"/>
  <c r="I518" i="5" s="1"/>
  <c r="F531" i="5"/>
  <c r="I531" i="5" s="1"/>
  <c r="F544" i="5"/>
  <c r="I544" i="5" s="1"/>
  <c r="F557" i="5"/>
  <c r="I557" i="5" s="1"/>
  <c r="F570" i="5"/>
  <c r="I570" i="5" s="1"/>
  <c r="F596" i="5"/>
  <c r="I596" i="5" s="1"/>
  <c r="F610" i="5"/>
  <c r="I610" i="5" s="1"/>
  <c r="M469" i="5"/>
  <c r="N469" i="5" s="1"/>
  <c r="L469" i="5"/>
  <c r="M372" i="5"/>
  <c r="N372" i="5" s="1"/>
  <c r="L372" i="5"/>
  <c r="M358" i="5"/>
  <c r="N358" i="5" s="1"/>
  <c r="L358" i="5"/>
  <c r="M138" i="5"/>
  <c r="N138" i="5" s="1"/>
  <c r="L138" i="5"/>
  <c r="M413" i="5"/>
  <c r="N413" i="5" s="1"/>
  <c r="L413" i="5"/>
  <c r="P261" i="5"/>
  <c r="P96" i="5"/>
  <c r="M14" i="6"/>
  <c r="N14" i="6" s="1"/>
  <c r="K14" i="6"/>
  <c r="L14" i="6" s="1"/>
  <c r="O440" i="5"/>
  <c r="O344" i="5"/>
  <c r="O234" i="5"/>
  <c r="O289" i="5"/>
  <c r="O68" i="5"/>
  <c r="R40" i="5"/>
  <c r="Q40" i="5"/>
  <c r="R385" i="5"/>
  <c r="Q385" i="5"/>
  <c r="S385" i="5" s="1"/>
  <c r="R151" i="5"/>
  <c r="Q151" i="5"/>
  <c r="S151" i="5" s="1"/>
  <c r="R206" i="5"/>
  <c r="Q206" i="5"/>
  <c r="S206" i="5" s="1"/>
  <c r="F583" i="5" l="1"/>
  <c r="I583" i="5" s="1"/>
  <c r="Q304" i="5"/>
  <c r="S304" i="5" s="1"/>
  <c r="G305" i="5" s="1"/>
  <c r="H305" i="5" s="1"/>
  <c r="O331" i="5"/>
  <c r="P331" i="5" s="1"/>
  <c r="M305" i="5"/>
  <c r="N305" i="5" s="1"/>
  <c r="L166" i="5"/>
  <c r="O592" i="5"/>
  <c r="P592" i="5" s="1"/>
  <c r="Q592" i="5" s="1"/>
  <c r="S592" i="5" s="1"/>
  <c r="G593" i="5" s="1"/>
  <c r="H593" i="5" s="1"/>
  <c r="K593" i="5" s="1"/>
  <c r="P126" i="5"/>
  <c r="Q126" i="5" s="1"/>
  <c r="S126" i="5" s="1"/>
  <c r="I54" i="1" s="1"/>
  <c r="O55" i="5"/>
  <c r="P55" i="5" s="1"/>
  <c r="M166" i="5"/>
  <c r="N166" i="5" s="1"/>
  <c r="R165" i="5"/>
  <c r="O454" i="5"/>
  <c r="P454" i="5" s="1"/>
  <c r="O181" i="5"/>
  <c r="O222" i="5"/>
  <c r="P222" i="5" s="1"/>
  <c r="R222" i="5" s="1"/>
  <c r="L606" i="5"/>
  <c r="M606" i="5"/>
  <c r="N606" i="5" s="1"/>
  <c r="O537" i="5"/>
  <c r="P537" i="5" s="1"/>
  <c r="R537" i="5" s="1"/>
  <c r="M84" i="5"/>
  <c r="N84" i="5" s="1"/>
  <c r="L84" i="5"/>
  <c r="M195" i="5"/>
  <c r="N195" i="5" s="1"/>
  <c r="L195" i="5"/>
  <c r="S496" i="5"/>
  <c r="G497" i="5" s="1"/>
  <c r="H497" i="5" s="1"/>
  <c r="K497" i="5" s="1"/>
  <c r="S40" i="5"/>
  <c r="G41" i="5" s="1"/>
  <c r="H41" i="5" s="1"/>
  <c r="K41" i="5" s="1"/>
  <c r="S399" i="5"/>
  <c r="G400" i="5" s="1"/>
  <c r="H400" i="5" s="1"/>
  <c r="K400" i="5" s="1"/>
  <c r="P524" i="5"/>
  <c r="R524" i="5" s="1"/>
  <c r="O482" i="5"/>
  <c r="P482" i="5" s="1"/>
  <c r="Q482" i="5" s="1"/>
  <c r="S482" i="5" s="1"/>
  <c r="O427" i="5"/>
  <c r="P427" i="5" s="1"/>
  <c r="Q427" i="5" s="1"/>
  <c r="S427" i="5" s="1"/>
  <c r="O14" i="6"/>
  <c r="P14" i="6" s="1"/>
  <c r="R578" i="5"/>
  <c r="Q578" i="5"/>
  <c r="M317" i="5"/>
  <c r="N317" i="5" s="1"/>
  <c r="L317" i="5"/>
  <c r="O551" i="5"/>
  <c r="G278" i="5"/>
  <c r="H278" i="5" s="1"/>
  <c r="K278" i="5" s="1"/>
  <c r="G565" i="5"/>
  <c r="H565" i="5" s="1"/>
  <c r="K565" i="5" s="1"/>
  <c r="G386" i="5"/>
  <c r="H386" i="5" s="1"/>
  <c r="K386" i="5" s="1"/>
  <c r="G152" i="5"/>
  <c r="H152" i="5" s="1"/>
  <c r="K152" i="5" s="1"/>
  <c r="G207" i="5"/>
  <c r="H207" i="5" s="1"/>
  <c r="K207" i="5" s="1"/>
  <c r="Q510" i="5"/>
  <c r="S510" i="5" s="1"/>
  <c r="R510" i="5"/>
  <c r="F532" i="5"/>
  <c r="I532" i="5" s="1"/>
  <c r="F545" i="5"/>
  <c r="I545" i="5" s="1"/>
  <c r="F558" i="5"/>
  <c r="I558" i="5" s="1"/>
  <c r="F571" i="5"/>
  <c r="I571" i="5" s="1"/>
  <c r="F584" i="5"/>
  <c r="I584" i="5" s="1"/>
  <c r="F597" i="5"/>
  <c r="I597" i="5" s="1"/>
  <c r="F611" i="5"/>
  <c r="I611" i="5" s="1"/>
  <c r="M248" i="5"/>
  <c r="N248" i="5" s="1"/>
  <c r="L248" i="5"/>
  <c r="M26" i="5"/>
  <c r="N26" i="5" s="1"/>
  <c r="L26" i="5"/>
  <c r="V26" i="5" s="1"/>
  <c r="P440" i="5"/>
  <c r="P344" i="5"/>
  <c r="P234" i="5"/>
  <c r="P289" i="5"/>
  <c r="P68" i="5"/>
  <c r="O372" i="5"/>
  <c r="O358" i="5"/>
  <c r="O138" i="5"/>
  <c r="O413" i="5"/>
  <c r="O469" i="5"/>
  <c r="R261" i="5"/>
  <c r="Q261" i="5"/>
  <c r="S261" i="5" s="1"/>
  <c r="R96" i="5"/>
  <c r="Q96" i="5"/>
  <c r="S96" i="5" s="1"/>
  <c r="R14" i="5"/>
  <c r="Q14" i="5"/>
  <c r="S14" i="5" s="1"/>
  <c r="K305" i="5" l="1"/>
  <c r="L305" i="5" s="1"/>
  <c r="O305" i="5" s="1"/>
  <c r="P305" i="5" s="1"/>
  <c r="Q305" i="5" s="1"/>
  <c r="S305" i="5" s="1"/>
  <c r="G306" i="5" s="1"/>
  <c r="H306" i="5" s="1"/>
  <c r="K306" i="5" s="1"/>
  <c r="R592" i="5"/>
  <c r="O166" i="5"/>
  <c r="P166" i="5" s="1"/>
  <c r="R126" i="5"/>
  <c r="Q14" i="6"/>
  <c r="P15" i="6"/>
  <c r="R454" i="5"/>
  <c r="Q454" i="5"/>
  <c r="S454" i="5" s="1"/>
  <c r="G455" i="5" s="1"/>
  <c r="H455" i="5" s="1"/>
  <c r="K455" i="5" s="1"/>
  <c r="O606" i="5"/>
  <c r="P606" i="5" s="1"/>
  <c r="Q606" i="5" s="1"/>
  <c r="S606" i="5" s="1"/>
  <c r="P181" i="5"/>
  <c r="R181" i="5" s="1"/>
  <c r="O84" i="5"/>
  <c r="P84" i="5" s="1"/>
  <c r="R84" i="5" s="1"/>
  <c r="M400" i="5"/>
  <c r="N400" i="5" s="1"/>
  <c r="L400" i="5"/>
  <c r="M497" i="5"/>
  <c r="N497" i="5" s="1"/>
  <c r="L497" i="5"/>
  <c r="O195" i="5"/>
  <c r="S578" i="5"/>
  <c r="G579" i="5" s="1"/>
  <c r="H579" i="5" s="1"/>
  <c r="K579" i="5" s="1"/>
  <c r="Q537" i="5"/>
  <c r="Q524" i="5"/>
  <c r="Q222" i="5"/>
  <c r="R482" i="5"/>
  <c r="R427" i="5"/>
  <c r="R14" i="6"/>
  <c r="R15" i="6" s="1"/>
  <c r="H10" i="1" s="1"/>
  <c r="O317" i="5"/>
  <c r="P317" i="5" s="1"/>
  <c r="L278" i="5"/>
  <c r="M278" i="5"/>
  <c r="N278" i="5" s="1"/>
  <c r="L207" i="5"/>
  <c r="M207" i="5"/>
  <c r="N207" i="5" s="1"/>
  <c r="M593" i="5"/>
  <c r="N593" i="5" s="1"/>
  <c r="L593" i="5"/>
  <c r="P551" i="5"/>
  <c r="Q551" i="5" s="1"/>
  <c r="S551" i="5" s="1"/>
  <c r="G428" i="5"/>
  <c r="H428" i="5" s="1"/>
  <c r="K428" i="5" s="1"/>
  <c r="G483" i="5"/>
  <c r="H483" i="5" s="1"/>
  <c r="K483" i="5" s="1"/>
  <c r="L565" i="5"/>
  <c r="M565" i="5"/>
  <c r="N565" i="5" s="1"/>
  <c r="G511" i="5"/>
  <c r="H511" i="5" s="1"/>
  <c r="K511" i="5" s="1"/>
  <c r="G262" i="5"/>
  <c r="H262" i="5" s="1"/>
  <c r="K262" i="5" s="1"/>
  <c r="G97" i="5"/>
  <c r="H97" i="5" s="1"/>
  <c r="K97" i="5" s="1"/>
  <c r="Q344" i="5"/>
  <c r="S344" i="5" s="1"/>
  <c r="R344" i="5"/>
  <c r="F546" i="5"/>
  <c r="I546" i="5" s="1"/>
  <c r="F559" i="5"/>
  <c r="I559" i="5" s="1"/>
  <c r="F572" i="5"/>
  <c r="I572" i="5" s="1"/>
  <c r="F585" i="5"/>
  <c r="I585" i="5" s="1"/>
  <c r="F598" i="5"/>
  <c r="I598" i="5" s="1"/>
  <c r="F612" i="5"/>
  <c r="I612" i="5" s="1"/>
  <c r="M41" i="5"/>
  <c r="N41" i="5" s="1"/>
  <c r="L41" i="5"/>
  <c r="M386" i="5"/>
  <c r="N386" i="5" s="1"/>
  <c r="L386" i="5"/>
  <c r="M152" i="5"/>
  <c r="N152" i="5" s="1"/>
  <c r="L152" i="5"/>
  <c r="P372" i="5"/>
  <c r="P358" i="5"/>
  <c r="P138" i="5"/>
  <c r="P413" i="5"/>
  <c r="P469" i="5"/>
  <c r="O248" i="5"/>
  <c r="O26" i="5"/>
  <c r="R331" i="5"/>
  <c r="Q331" i="5"/>
  <c r="S331" i="5" s="1"/>
  <c r="R440" i="5"/>
  <c r="Q440" i="5"/>
  <c r="S440" i="5" s="1"/>
  <c r="R234" i="5"/>
  <c r="Q234" i="5"/>
  <c r="S234" i="5" s="1"/>
  <c r="R289" i="5"/>
  <c r="Q289" i="5"/>
  <c r="S289" i="5" s="1"/>
  <c r="R68" i="5"/>
  <c r="Q68" i="5"/>
  <c r="S68" i="5" s="1"/>
  <c r="R55" i="5"/>
  <c r="Q55" i="5"/>
  <c r="Q166" i="5" l="1"/>
  <c r="S166" i="5" s="1"/>
  <c r="G167" i="5" s="1"/>
  <c r="H167" i="5" s="1"/>
  <c r="K167" i="5" s="1"/>
  <c r="R166" i="5"/>
  <c r="M167" i="5"/>
  <c r="N167" i="5" s="1"/>
  <c r="L167" i="5"/>
  <c r="O167" i="5" s="1"/>
  <c r="L579" i="5"/>
  <c r="J10" i="1"/>
  <c r="S14" i="6"/>
  <c r="Q15" i="6"/>
  <c r="F10" i="1" s="1"/>
  <c r="O400" i="5"/>
  <c r="P400" i="5" s="1"/>
  <c r="Q181" i="5"/>
  <c r="S181" i="5" s="1"/>
  <c r="G182" i="5" s="1"/>
  <c r="H182" i="5" s="1"/>
  <c r="K182" i="5" s="1"/>
  <c r="L306" i="5"/>
  <c r="M306" i="5"/>
  <c r="N306" i="5" s="1"/>
  <c r="R305" i="5"/>
  <c r="O497" i="5"/>
  <c r="P497" i="5" s="1"/>
  <c r="M579" i="5"/>
  <c r="N579" i="5" s="1"/>
  <c r="P195" i="5"/>
  <c r="R195" i="5" s="1"/>
  <c r="L455" i="5"/>
  <c r="M455" i="5"/>
  <c r="N455" i="5" s="1"/>
  <c r="S222" i="5"/>
  <c r="G223" i="5" s="1"/>
  <c r="H223" i="5" s="1"/>
  <c r="K223" i="5" s="1"/>
  <c r="S537" i="5"/>
  <c r="G538" i="5" s="1"/>
  <c r="H538" i="5" s="1"/>
  <c r="K538" i="5" s="1"/>
  <c r="S55" i="5"/>
  <c r="G56" i="5" s="1"/>
  <c r="H56" i="5" s="1"/>
  <c r="K56" i="5" s="1"/>
  <c r="S524" i="5"/>
  <c r="G525" i="5" s="1"/>
  <c r="H525" i="5" s="1"/>
  <c r="K525" i="5" s="1"/>
  <c r="G69" i="5"/>
  <c r="H69" i="5" s="1"/>
  <c r="K69" i="5" s="1"/>
  <c r="Q84" i="5"/>
  <c r="S84" i="5" s="1"/>
  <c r="R317" i="5"/>
  <c r="O593" i="5"/>
  <c r="P593" i="5" s="1"/>
  <c r="R551" i="5"/>
  <c r="Q317" i="5"/>
  <c r="R606" i="5"/>
  <c r="O565" i="5"/>
  <c r="P565" i="5" s="1"/>
  <c r="Q565" i="5" s="1"/>
  <c r="S565" i="5" s="1"/>
  <c r="G566" i="5" s="1"/>
  <c r="H566" i="5" s="1"/>
  <c r="K566" i="5" s="1"/>
  <c r="O278" i="5"/>
  <c r="P278" i="5" s="1"/>
  <c r="M428" i="5"/>
  <c r="N428" i="5" s="1"/>
  <c r="L428" i="5"/>
  <c r="L483" i="5"/>
  <c r="M483" i="5"/>
  <c r="N483" i="5" s="1"/>
  <c r="O207" i="5"/>
  <c r="G552" i="5"/>
  <c r="H552" i="5" s="1"/>
  <c r="K552" i="5" s="1"/>
  <c r="M511" i="5"/>
  <c r="N511" i="5" s="1"/>
  <c r="L511" i="5"/>
  <c r="G345" i="5"/>
  <c r="H345" i="5" s="1"/>
  <c r="K345" i="5" s="1"/>
  <c r="G607" i="5"/>
  <c r="H607" i="5" s="1"/>
  <c r="K607" i="5" s="1"/>
  <c r="G332" i="5"/>
  <c r="H332" i="5" s="1"/>
  <c r="K332" i="5" s="1"/>
  <c r="G441" i="5"/>
  <c r="H441" i="5" s="1"/>
  <c r="K441" i="5" s="1"/>
  <c r="G235" i="5"/>
  <c r="H235" i="5" s="1"/>
  <c r="K235" i="5" s="1"/>
  <c r="G290" i="5"/>
  <c r="H290" i="5" s="1"/>
  <c r="K290" i="5" s="1"/>
  <c r="R358" i="5"/>
  <c r="Q358" i="5"/>
  <c r="S358" i="5" s="1"/>
  <c r="F560" i="5"/>
  <c r="I560" i="5" s="1"/>
  <c r="F573" i="5"/>
  <c r="I573" i="5" s="1"/>
  <c r="F586" i="5"/>
  <c r="I586" i="5" s="1"/>
  <c r="F599" i="5"/>
  <c r="I599" i="5" s="1"/>
  <c r="F613" i="5"/>
  <c r="I613" i="5" s="1"/>
  <c r="M262" i="5"/>
  <c r="N262" i="5" s="1"/>
  <c r="L262" i="5"/>
  <c r="M97" i="5"/>
  <c r="N97" i="5" s="1"/>
  <c r="L97" i="5"/>
  <c r="P248" i="5"/>
  <c r="P26" i="5"/>
  <c r="O41" i="5"/>
  <c r="O386" i="5"/>
  <c r="O152" i="5"/>
  <c r="R372" i="5"/>
  <c r="Q372" i="5"/>
  <c r="S372" i="5" s="1"/>
  <c r="R138" i="5"/>
  <c r="Q138" i="5"/>
  <c r="S138" i="5" s="1"/>
  <c r="R413" i="5"/>
  <c r="Q413" i="5"/>
  <c r="S413" i="5" s="1"/>
  <c r="R469" i="5"/>
  <c r="Q469" i="5"/>
  <c r="S469" i="5" s="1"/>
  <c r="M345" i="5" l="1"/>
  <c r="N345" i="5" s="1"/>
  <c r="O579" i="5"/>
  <c r="M182" i="5"/>
  <c r="N182" i="5" s="1"/>
  <c r="Q497" i="5"/>
  <c r="S497" i="5" s="1"/>
  <c r="G498" i="5" s="1"/>
  <c r="H498" i="5" s="1"/>
  <c r="K498" i="5" s="1"/>
  <c r="O306" i="5"/>
  <c r="P306" i="5" s="1"/>
  <c r="D10" i="1"/>
  <c r="N8" i="1" s="1"/>
  <c r="L182" i="5"/>
  <c r="R497" i="5"/>
  <c r="Q195" i="5"/>
  <c r="S195" i="5" s="1"/>
  <c r="G196" i="5" s="1"/>
  <c r="H196" i="5" s="1"/>
  <c r="K196" i="5" s="1"/>
  <c r="L56" i="5"/>
  <c r="M56" i="5"/>
  <c r="N56" i="5" s="1"/>
  <c r="M538" i="5"/>
  <c r="N538" i="5" s="1"/>
  <c r="L538" i="5"/>
  <c r="L223" i="5"/>
  <c r="M223" i="5"/>
  <c r="N223" i="5" s="1"/>
  <c r="L525" i="5"/>
  <c r="M525" i="5"/>
  <c r="N525" i="5" s="1"/>
  <c r="S317" i="5"/>
  <c r="G318" i="5" s="1"/>
  <c r="H318" i="5" s="1"/>
  <c r="K318" i="5" s="1"/>
  <c r="O455" i="5"/>
  <c r="O428" i="5"/>
  <c r="P428" i="5" s="1"/>
  <c r="R428" i="5" s="1"/>
  <c r="Q278" i="5"/>
  <c r="R278" i="5"/>
  <c r="R565" i="5"/>
  <c r="O483" i="5"/>
  <c r="P579" i="5"/>
  <c r="P207" i="5"/>
  <c r="O511" i="5"/>
  <c r="P511" i="5" s="1"/>
  <c r="R593" i="5"/>
  <c r="Q593" i="5"/>
  <c r="L552" i="5"/>
  <c r="M552" i="5"/>
  <c r="N552" i="5" s="1"/>
  <c r="P167" i="5"/>
  <c r="Q167" i="5" s="1"/>
  <c r="L566" i="5"/>
  <c r="M566" i="5"/>
  <c r="N566" i="5" s="1"/>
  <c r="G359" i="5"/>
  <c r="H359" i="5" s="1"/>
  <c r="K359" i="5" s="1"/>
  <c r="G373" i="5"/>
  <c r="H373" i="5" s="1"/>
  <c r="K373" i="5" s="1"/>
  <c r="G139" i="5"/>
  <c r="H139" i="5" s="1"/>
  <c r="K139" i="5" s="1"/>
  <c r="G414" i="5"/>
  <c r="H414" i="5" s="1"/>
  <c r="K414" i="5" s="1"/>
  <c r="G470" i="5"/>
  <c r="H470" i="5" s="1"/>
  <c r="K470" i="5" s="1"/>
  <c r="F574" i="5"/>
  <c r="I574" i="5" s="1"/>
  <c r="F587" i="5"/>
  <c r="I587" i="5" s="1"/>
  <c r="F600" i="5"/>
  <c r="I600" i="5" s="1"/>
  <c r="F614" i="5"/>
  <c r="I614" i="5" s="1"/>
  <c r="L607" i="5"/>
  <c r="M607" i="5"/>
  <c r="N607" i="5" s="1"/>
  <c r="M332" i="5"/>
  <c r="N332" i="5" s="1"/>
  <c r="L332" i="5"/>
  <c r="M441" i="5"/>
  <c r="N441" i="5" s="1"/>
  <c r="L441" i="5"/>
  <c r="M235" i="5"/>
  <c r="N235" i="5" s="1"/>
  <c r="L235" i="5"/>
  <c r="M290" i="5"/>
  <c r="N290" i="5" s="1"/>
  <c r="L290" i="5"/>
  <c r="M69" i="5"/>
  <c r="N69" i="5" s="1"/>
  <c r="L69" i="5"/>
  <c r="P41" i="5"/>
  <c r="P386" i="5"/>
  <c r="P152" i="5"/>
  <c r="O262" i="5"/>
  <c r="O97" i="5"/>
  <c r="R248" i="5"/>
  <c r="Q248" i="5"/>
  <c r="S248" i="5" s="1"/>
  <c r="R26" i="5"/>
  <c r="Q26" i="5"/>
  <c r="R400" i="5"/>
  <c r="Q400" i="5"/>
  <c r="S400" i="5" s="1"/>
  <c r="O182" i="5" l="1"/>
  <c r="Q306" i="5"/>
  <c r="S306" i="5" s="1"/>
  <c r="G307" i="5" s="1"/>
  <c r="H307" i="5" s="1"/>
  <c r="K307" i="5" s="1"/>
  <c r="R306" i="5"/>
  <c r="P182" i="5"/>
  <c r="Q182" i="5" s="1"/>
  <c r="S182" i="5" s="1"/>
  <c r="O223" i="5"/>
  <c r="P223" i="5" s="1"/>
  <c r="Q223" i="5" s="1"/>
  <c r="S223" i="5" s="1"/>
  <c r="G224" i="5" s="1"/>
  <c r="H224" i="5" s="1"/>
  <c r="K224" i="5" s="1"/>
  <c r="O56" i="5"/>
  <c r="P56" i="5" s="1"/>
  <c r="R56" i="5" s="1"/>
  <c r="O525" i="5"/>
  <c r="P525" i="5" s="1"/>
  <c r="M196" i="5"/>
  <c r="N196" i="5" s="1"/>
  <c r="L196" i="5"/>
  <c r="L318" i="5"/>
  <c r="M318" i="5"/>
  <c r="N318" i="5" s="1"/>
  <c r="S593" i="5"/>
  <c r="G594" i="5" s="1"/>
  <c r="H594" i="5" s="1"/>
  <c r="K594" i="5" s="1"/>
  <c r="S167" i="5"/>
  <c r="G168" i="5" s="1"/>
  <c r="H168" i="5" s="1"/>
  <c r="K168" i="5" s="1"/>
  <c r="P455" i="5"/>
  <c r="R455" i="5" s="1"/>
  <c r="O538" i="5"/>
  <c r="P538" i="5" s="1"/>
  <c r="S26" i="5"/>
  <c r="G27" i="5" s="1"/>
  <c r="H27" i="5" s="1"/>
  <c r="K27" i="5" s="1"/>
  <c r="S278" i="5"/>
  <c r="G279" i="5" s="1"/>
  <c r="H279" i="5" s="1"/>
  <c r="K279" i="5" s="1"/>
  <c r="L345" i="5"/>
  <c r="O345" i="5" s="1"/>
  <c r="P345" i="5" s="1"/>
  <c r="Q428" i="5"/>
  <c r="O566" i="5"/>
  <c r="P566" i="5" s="1"/>
  <c r="O69" i="5"/>
  <c r="P69" i="5" s="1"/>
  <c r="R167" i="5"/>
  <c r="P483" i="5"/>
  <c r="R483" i="5" s="1"/>
  <c r="O552" i="5"/>
  <c r="P552" i="5" s="1"/>
  <c r="Q579" i="5"/>
  <c r="R579" i="5"/>
  <c r="Q207" i="5"/>
  <c r="R207" i="5"/>
  <c r="M359" i="5"/>
  <c r="N359" i="5" s="1"/>
  <c r="L359" i="5"/>
  <c r="L498" i="5"/>
  <c r="M498" i="5"/>
  <c r="N498" i="5" s="1"/>
  <c r="O235" i="5"/>
  <c r="G249" i="5"/>
  <c r="H249" i="5" s="1"/>
  <c r="K249" i="5" s="1"/>
  <c r="G401" i="5"/>
  <c r="H401" i="5" s="1"/>
  <c r="K401" i="5" s="1"/>
  <c r="O607" i="5"/>
  <c r="P607" i="5" s="1"/>
  <c r="F588" i="5"/>
  <c r="I588" i="5" s="1"/>
  <c r="F601" i="5"/>
  <c r="I601" i="5" s="1"/>
  <c r="F615" i="5"/>
  <c r="I615" i="5" s="1"/>
  <c r="M373" i="5"/>
  <c r="N373" i="5" s="1"/>
  <c r="L373" i="5"/>
  <c r="M139" i="5"/>
  <c r="N139" i="5" s="1"/>
  <c r="L139" i="5"/>
  <c r="M414" i="5"/>
  <c r="N414" i="5" s="1"/>
  <c r="L414" i="5"/>
  <c r="M470" i="5"/>
  <c r="N470" i="5" s="1"/>
  <c r="L470" i="5"/>
  <c r="P262" i="5"/>
  <c r="P97" i="5"/>
  <c r="O290" i="5"/>
  <c r="O332" i="5"/>
  <c r="O441" i="5"/>
  <c r="R511" i="5"/>
  <c r="Q511" i="5"/>
  <c r="S511" i="5" s="1"/>
  <c r="R41" i="5"/>
  <c r="Q41" i="5"/>
  <c r="R386" i="5"/>
  <c r="Q386" i="5"/>
  <c r="S386" i="5" s="1"/>
  <c r="R152" i="5"/>
  <c r="Q152" i="5"/>
  <c r="S152" i="5" s="1"/>
  <c r="L307" i="5" l="1"/>
  <c r="L224" i="5"/>
  <c r="M307" i="5"/>
  <c r="N307" i="5" s="1"/>
  <c r="R182" i="5"/>
  <c r="M224" i="5"/>
  <c r="N224" i="5" s="1"/>
  <c r="R223" i="5"/>
  <c r="R538" i="5"/>
  <c r="Q525" i="5"/>
  <c r="S525" i="5" s="1"/>
  <c r="G526" i="5" s="1"/>
  <c r="H526" i="5" s="1"/>
  <c r="K526" i="5" s="1"/>
  <c r="R525" i="5"/>
  <c r="O318" i="5"/>
  <c r="P318" i="5" s="1"/>
  <c r="Q318" i="5" s="1"/>
  <c r="S318" i="5" s="1"/>
  <c r="G319" i="5" s="1"/>
  <c r="H319" i="5" s="1"/>
  <c r="K319" i="5" s="1"/>
  <c r="M279" i="5"/>
  <c r="N279" i="5" s="1"/>
  <c r="L279" i="5"/>
  <c r="Q538" i="5"/>
  <c r="S538" i="5" s="1"/>
  <c r="G539" i="5" s="1"/>
  <c r="H539" i="5" s="1"/>
  <c r="K539" i="5" s="1"/>
  <c r="L594" i="5"/>
  <c r="M594" i="5"/>
  <c r="N594" i="5" s="1"/>
  <c r="M168" i="5"/>
  <c r="N168" i="5" s="1"/>
  <c r="L168" i="5"/>
  <c r="S207" i="5"/>
  <c r="G208" i="5" s="1"/>
  <c r="H208" i="5" s="1"/>
  <c r="K208" i="5" s="1"/>
  <c r="O196" i="5"/>
  <c r="S41" i="5"/>
  <c r="G42" i="5" s="1"/>
  <c r="H42" i="5" s="1"/>
  <c r="K42" i="5" s="1"/>
  <c r="S579" i="5"/>
  <c r="G580" i="5" s="1"/>
  <c r="H580" i="5" s="1"/>
  <c r="K580" i="5" s="1"/>
  <c r="Q455" i="5"/>
  <c r="S428" i="5"/>
  <c r="G429" i="5" s="1"/>
  <c r="H429" i="5" s="1"/>
  <c r="K429" i="5" s="1"/>
  <c r="Q483" i="5"/>
  <c r="Q566" i="5"/>
  <c r="R566" i="5"/>
  <c r="O373" i="5"/>
  <c r="P373" i="5" s="1"/>
  <c r="R373" i="5" s="1"/>
  <c r="Q56" i="5"/>
  <c r="S56" i="5" s="1"/>
  <c r="O498" i="5"/>
  <c r="P498" i="5" s="1"/>
  <c r="O359" i="5"/>
  <c r="P359" i="5" s="1"/>
  <c r="P235" i="5"/>
  <c r="R552" i="5"/>
  <c r="Q552" i="5"/>
  <c r="S552" i="5" s="1"/>
  <c r="G512" i="5"/>
  <c r="H512" i="5" s="1"/>
  <c r="K512" i="5" s="1"/>
  <c r="G387" i="5"/>
  <c r="H387" i="5" s="1"/>
  <c r="K387" i="5" s="1"/>
  <c r="G153" i="5"/>
  <c r="H153" i="5" s="1"/>
  <c r="K153" i="5" s="1"/>
  <c r="F602" i="5"/>
  <c r="I602" i="5" s="1"/>
  <c r="F616" i="5"/>
  <c r="I616" i="5" s="1"/>
  <c r="M249" i="5"/>
  <c r="N249" i="5" s="1"/>
  <c r="L249" i="5"/>
  <c r="M27" i="5"/>
  <c r="N27" i="5" s="1"/>
  <c r="L27" i="5"/>
  <c r="V27" i="5" s="1"/>
  <c r="M401" i="5"/>
  <c r="N401" i="5" s="1"/>
  <c r="L401" i="5"/>
  <c r="P290" i="5"/>
  <c r="P332" i="5"/>
  <c r="P441" i="5"/>
  <c r="O139" i="5"/>
  <c r="O414" i="5"/>
  <c r="O470" i="5"/>
  <c r="R607" i="5"/>
  <c r="Q607" i="5"/>
  <c r="S607" i="5" s="1"/>
  <c r="Q69" i="5"/>
  <c r="S69" i="5" s="1"/>
  <c r="R69" i="5"/>
  <c r="R345" i="5"/>
  <c r="Q345" i="5"/>
  <c r="S345" i="5" s="1"/>
  <c r="R262" i="5"/>
  <c r="Q262" i="5"/>
  <c r="S262" i="5" s="1"/>
  <c r="R97" i="5"/>
  <c r="Q97" i="5"/>
  <c r="S97" i="5" s="1"/>
  <c r="M208" i="5" l="1"/>
  <c r="N208" i="5" s="1"/>
  <c r="O224" i="5"/>
  <c r="P224" i="5" s="1"/>
  <c r="M42" i="5"/>
  <c r="N42" i="5" s="1"/>
  <c r="O307" i="5"/>
  <c r="P307" i="5" s="1"/>
  <c r="R318" i="5"/>
  <c r="O168" i="5"/>
  <c r="P168" i="5" s="1"/>
  <c r="R168" i="5" s="1"/>
  <c r="O279" i="5"/>
  <c r="P279" i="5" s="1"/>
  <c r="O594" i="5"/>
  <c r="P594" i="5" s="1"/>
  <c r="L42" i="5"/>
  <c r="L429" i="5"/>
  <c r="M429" i="5"/>
  <c r="N429" i="5" s="1"/>
  <c r="L580" i="5"/>
  <c r="M580" i="5"/>
  <c r="N580" i="5" s="1"/>
  <c r="M526" i="5"/>
  <c r="N526" i="5" s="1"/>
  <c r="L526" i="5"/>
  <c r="P196" i="5"/>
  <c r="R196" i="5" s="1"/>
  <c r="L208" i="5"/>
  <c r="S566" i="5"/>
  <c r="G567" i="5" s="1"/>
  <c r="H567" i="5" s="1"/>
  <c r="K567" i="5" s="1"/>
  <c r="S483" i="5"/>
  <c r="G484" i="5" s="1"/>
  <c r="H484" i="5" s="1"/>
  <c r="K484" i="5" s="1"/>
  <c r="S455" i="5"/>
  <c r="G456" i="5" s="1"/>
  <c r="H456" i="5" s="1"/>
  <c r="K456" i="5" s="1"/>
  <c r="G70" i="5"/>
  <c r="H70" i="5" s="1"/>
  <c r="K70" i="5" s="1"/>
  <c r="R498" i="5"/>
  <c r="Q498" i="5"/>
  <c r="R224" i="5"/>
  <c r="Q224" i="5"/>
  <c r="S224" i="5" s="1"/>
  <c r="Q373" i="5"/>
  <c r="Q235" i="5"/>
  <c r="R235" i="5"/>
  <c r="G553" i="5"/>
  <c r="H553" i="5" s="1"/>
  <c r="K553" i="5" s="1"/>
  <c r="G608" i="5"/>
  <c r="H608" i="5" s="1"/>
  <c r="K608" i="5" s="1"/>
  <c r="G346" i="5"/>
  <c r="H346" i="5" s="1"/>
  <c r="K346" i="5" s="1"/>
  <c r="G263" i="5"/>
  <c r="H263" i="5" s="1"/>
  <c r="K263" i="5" s="1"/>
  <c r="G98" i="5"/>
  <c r="H98" i="5" s="1"/>
  <c r="K98" i="5" s="1"/>
  <c r="R290" i="5"/>
  <c r="Q290" i="5"/>
  <c r="S290" i="5" s="1"/>
  <c r="M319" i="5"/>
  <c r="N319" i="5" s="1"/>
  <c r="L319" i="5"/>
  <c r="M512" i="5"/>
  <c r="N512" i="5" s="1"/>
  <c r="L512" i="5"/>
  <c r="M539" i="5"/>
  <c r="N539" i="5" s="1"/>
  <c r="L539" i="5"/>
  <c r="M387" i="5"/>
  <c r="N387" i="5" s="1"/>
  <c r="L387" i="5"/>
  <c r="M153" i="5"/>
  <c r="N153" i="5" s="1"/>
  <c r="L153" i="5"/>
  <c r="P139" i="5"/>
  <c r="P414" i="5"/>
  <c r="P470" i="5"/>
  <c r="O249" i="5"/>
  <c r="O27" i="5"/>
  <c r="O401" i="5"/>
  <c r="R359" i="5"/>
  <c r="Q359" i="5"/>
  <c r="S359" i="5" s="1"/>
  <c r="R332" i="5"/>
  <c r="Q332" i="5"/>
  <c r="S332" i="5" s="1"/>
  <c r="R441" i="5"/>
  <c r="Q441" i="5"/>
  <c r="S441" i="5" s="1"/>
  <c r="O208" i="5" l="1"/>
  <c r="Q307" i="5"/>
  <c r="S307" i="5" s="1"/>
  <c r="G308" i="5" s="1"/>
  <c r="H308" i="5" s="1"/>
  <c r="K308" i="5" s="1"/>
  <c r="O42" i="5"/>
  <c r="P42" i="5" s="1"/>
  <c r="Q42" i="5" s="1"/>
  <c r="S42" i="5" s="1"/>
  <c r="L484" i="5"/>
  <c r="R307" i="5"/>
  <c r="Q279" i="5"/>
  <c r="R279" i="5"/>
  <c r="O580" i="5"/>
  <c r="P580" i="5" s="1"/>
  <c r="O429" i="5"/>
  <c r="P429" i="5" s="1"/>
  <c r="R429" i="5" s="1"/>
  <c r="O526" i="5"/>
  <c r="M484" i="5"/>
  <c r="N484" i="5" s="1"/>
  <c r="Q196" i="5"/>
  <c r="S196" i="5" s="1"/>
  <c r="M567" i="5"/>
  <c r="N567" i="5" s="1"/>
  <c r="L567" i="5"/>
  <c r="M456" i="5"/>
  <c r="N456" i="5" s="1"/>
  <c r="L456" i="5"/>
  <c r="S498" i="5"/>
  <c r="G499" i="5" s="1"/>
  <c r="H499" i="5" s="1"/>
  <c r="K499" i="5" s="1"/>
  <c r="S279" i="5"/>
  <c r="G280" i="5" s="1"/>
  <c r="H280" i="5" s="1"/>
  <c r="K280" i="5" s="1"/>
  <c r="S235" i="5"/>
  <c r="G236" i="5" s="1"/>
  <c r="H236" i="5" s="1"/>
  <c r="K236" i="5" s="1"/>
  <c r="S373" i="5"/>
  <c r="G374" i="5" s="1"/>
  <c r="H374" i="5" s="1"/>
  <c r="K374" i="5" s="1"/>
  <c r="M70" i="5"/>
  <c r="N70" i="5" s="1"/>
  <c r="L70" i="5"/>
  <c r="R42" i="5"/>
  <c r="Q168" i="5"/>
  <c r="S168" i="5" s="1"/>
  <c r="O319" i="5"/>
  <c r="P319" i="5" s="1"/>
  <c r="P208" i="5"/>
  <c r="R208" i="5" s="1"/>
  <c r="L608" i="5"/>
  <c r="M608" i="5"/>
  <c r="N608" i="5" s="1"/>
  <c r="L308" i="5"/>
  <c r="M98" i="5"/>
  <c r="N98" i="5" s="1"/>
  <c r="L98" i="5"/>
  <c r="L553" i="5"/>
  <c r="M553" i="5"/>
  <c r="N553" i="5" s="1"/>
  <c r="G291" i="5"/>
  <c r="H291" i="5" s="1"/>
  <c r="K291" i="5" s="1"/>
  <c r="G360" i="5"/>
  <c r="H360" i="5" s="1"/>
  <c r="K360" i="5" s="1"/>
  <c r="G333" i="5"/>
  <c r="H333" i="5" s="1"/>
  <c r="K333" i="5" s="1"/>
  <c r="G442" i="5"/>
  <c r="H442" i="5" s="1"/>
  <c r="K442" i="5" s="1"/>
  <c r="M346" i="5"/>
  <c r="N346" i="5" s="1"/>
  <c r="L346" i="5"/>
  <c r="M263" i="5"/>
  <c r="N263" i="5" s="1"/>
  <c r="L263" i="5"/>
  <c r="P249" i="5"/>
  <c r="P27" i="5"/>
  <c r="P401" i="5"/>
  <c r="O512" i="5"/>
  <c r="O539" i="5"/>
  <c r="O387" i="5"/>
  <c r="O153" i="5"/>
  <c r="R139" i="5"/>
  <c r="Q139" i="5"/>
  <c r="S139" i="5" s="1"/>
  <c r="R414" i="5"/>
  <c r="Q414" i="5"/>
  <c r="S414" i="5" s="1"/>
  <c r="R470" i="5"/>
  <c r="Q470" i="5"/>
  <c r="S470" i="5" s="1"/>
  <c r="R594" i="5"/>
  <c r="Q594" i="5"/>
  <c r="M308" i="5" l="1"/>
  <c r="N308" i="5" s="1"/>
  <c r="L499" i="5"/>
  <c r="M374" i="5"/>
  <c r="N374" i="5" s="1"/>
  <c r="L374" i="5"/>
  <c r="L280" i="5"/>
  <c r="O484" i="5"/>
  <c r="P484" i="5" s="1"/>
  <c r="Q429" i="5"/>
  <c r="S429" i="5" s="1"/>
  <c r="G430" i="5" s="1"/>
  <c r="H430" i="5" s="1"/>
  <c r="K430" i="5" s="1"/>
  <c r="M499" i="5"/>
  <c r="N499" i="5" s="1"/>
  <c r="O567" i="5"/>
  <c r="P567" i="5" s="1"/>
  <c r="O70" i="5"/>
  <c r="P70" i="5" s="1"/>
  <c r="Q70" i="5" s="1"/>
  <c r="S70" i="5" s="1"/>
  <c r="P526" i="5"/>
  <c r="R526" i="5" s="1"/>
  <c r="L236" i="5"/>
  <c r="M236" i="5"/>
  <c r="N236" i="5" s="1"/>
  <c r="M280" i="5"/>
  <c r="N280" i="5" s="1"/>
  <c r="O456" i="5"/>
  <c r="S594" i="5"/>
  <c r="G595" i="5" s="1"/>
  <c r="H595" i="5" s="1"/>
  <c r="K595" i="5" s="1"/>
  <c r="Q208" i="5"/>
  <c r="O608" i="5"/>
  <c r="P608" i="5" s="1"/>
  <c r="Q608" i="5" s="1"/>
  <c r="O553" i="5"/>
  <c r="P553" i="5" s="1"/>
  <c r="O98" i="5"/>
  <c r="O308" i="5"/>
  <c r="Q580" i="5"/>
  <c r="R580" i="5"/>
  <c r="L291" i="5"/>
  <c r="M291" i="5"/>
  <c r="N291" i="5" s="1"/>
  <c r="G140" i="5"/>
  <c r="H140" i="5" s="1"/>
  <c r="K140" i="5" s="1"/>
  <c r="G415" i="5"/>
  <c r="H415" i="5" s="1"/>
  <c r="K415" i="5" s="1"/>
  <c r="G471" i="5"/>
  <c r="H471" i="5" s="1"/>
  <c r="K471" i="5" s="1"/>
  <c r="R319" i="5"/>
  <c r="Q319" i="5"/>
  <c r="O346" i="5"/>
  <c r="M360" i="5"/>
  <c r="N360" i="5" s="1"/>
  <c r="L360" i="5"/>
  <c r="M333" i="5"/>
  <c r="N333" i="5" s="1"/>
  <c r="L333" i="5"/>
  <c r="M442" i="5"/>
  <c r="N442" i="5" s="1"/>
  <c r="L442" i="5"/>
  <c r="P512" i="5"/>
  <c r="P539" i="5"/>
  <c r="P387" i="5"/>
  <c r="P153" i="5"/>
  <c r="O263" i="5"/>
  <c r="R249" i="5"/>
  <c r="Q249" i="5"/>
  <c r="S249" i="5" s="1"/>
  <c r="R27" i="5"/>
  <c r="Q27" i="5"/>
  <c r="R401" i="5"/>
  <c r="Q401" i="5"/>
  <c r="S401" i="5" s="1"/>
  <c r="O374" i="5" l="1"/>
  <c r="P374" i="5" s="1"/>
  <c r="O499" i="5"/>
  <c r="P499" i="5" s="1"/>
  <c r="M430" i="5"/>
  <c r="N430" i="5" s="1"/>
  <c r="L430" i="5"/>
  <c r="O430" i="5" s="1"/>
  <c r="O280" i="5"/>
  <c r="P280" i="5" s="1"/>
  <c r="R484" i="5"/>
  <c r="Q484" i="5"/>
  <c r="S484" i="5" s="1"/>
  <c r="G485" i="5" s="1"/>
  <c r="H485" i="5" s="1"/>
  <c r="Q567" i="5"/>
  <c r="S567" i="5" s="1"/>
  <c r="G568" i="5" s="1"/>
  <c r="H568" i="5" s="1"/>
  <c r="K568" i="5" s="1"/>
  <c r="R567" i="5"/>
  <c r="R70" i="5"/>
  <c r="O236" i="5"/>
  <c r="P236" i="5" s="1"/>
  <c r="Q526" i="5"/>
  <c r="S526" i="5" s="1"/>
  <c r="G527" i="5" s="1"/>
  <c r="H527" i="5" s="1"/>
  <c r="K527" i="5" s="1"/>
  <c r="S319" i="5"/>
  <c r="G320" i="5" s="1"/>
  <c r="H320" i="5" s="1"/>
  <c r="K320" i="5" s="1"/>
  <c r="S580" i="5"/>
  <c r="G581" i="5" s="1"/>
  <c r="H581" i="5" s="1"/>
  <c r="K581" i="5" s="1"/>
  <c r="S208" i="5"/>
  <c r="G209" i="5" s="1"/>
  <c r="H209" i="5" s="1"/>
  <c r="K209" i="5" s="1"/>
  <c r="S608" i="5"/>
  <c r="G609" i="5" s="1"/>
  <c r="H609" i="5" s="1"/>
  <c r="K609" i="5" s="1"/>
  <c r="S27" i="5"/>
  <c r="G28" i="5" s="1"/>
  <c r="H28" i="5" s="1"/>
  <c r="K28" i="5" s="1"/>
  <c r="P456" i="5"/>
  <c r="R456" i="5" s="1"/>
  <c r="R608" i="5"/>
  <c r="O291" i="5"/>
  <c r="P291" i="5" s="1"/>
  <c r="P98" i="5"/>
  <c r="Q98" i="5" s="1"/>
  <c r="M140" i="5"/>
  <c r="N140" i="5" s="1"/>
  <c r="L140" i="5"/>
  <c r="M595" i="5"/>
  <c r="N595" i="5" s="1"/>
  <c r="L595" i="5"/>
  <c r="P308" i="5"/>
  <c r="R553" i="5"/>
  <c r="Q553" i="5"/>
  <c r="G250" i="5"/>
  <c r="H250" i="5" s="1"/>
  <c r="K250" i="5" s="1"/>
  <c r="G402" i="5"/>
  <c r="H402" i="5" s="1"/>
  <c r="K402" i="5" s="1"/>
  <c r="P346" i="5"/>
  <c r="R346" i="5" s="1"/>
  <c r="M415" i="5"/>
  <c r="N415" i="5" s="1"/>
  <c r="L415" i="5"/>
  <c r="M471" i="5"/>
  <c r="N471" i="5" s="1"/>
  <c r="L471" i="5"/>
  <c r="M485" i="5"/>
  <c r="N485" i="5" s="1"/>
  <c r="P263" i="5"/>
  <c r="O360" i="5"/>
  <c r="O333" i="5"/>
  <c r="O442" i="5"/>
  <c r="R512" i="5"/>
  <c r="Q512" i="5"/>
  <c r="R539" i="5"/>
  <c r="Q539" i="5"/>
  <c r="S539" i="5" s="1"/>
  <c r="R387" i="5"/>
  <c r="Q387" i="5"/>
  <c r="S387" i="5" s="1"/>
  <c r="R153" i="5"/>
  <c r="Q153" i="5"/>
  <c r="S153" i="5" s="1"/>
  <c r="K485" i="5" l="1"/>
  <c r="L485" i="5" s="1"/>
  <c r="O485" i="5" s="1"/>
  <c r="R499" i="5"/>
  <c r="Q499" i="5"/>
  <c r="S499" i="5" s="1"/>
  <c r="G500" i="5" s="1"/>
  <c r="H500" i="5" s="1"/>
  <c r="K500" i="5" s="1"/>
  <c r="M609" i="5"/>
  <c r="N609" i="5" s="1"/>
  <c r="L609" i="5"/>
  <c r="L581" i="5"/>
  <c r="R236" i="5"/>
  <c r="Q236" i="5"/>
  <c r="S236" i="5" s="1"/>
  <c r="G237" i="5" s="1"/>
  <c r="H237" i="5" s="1"/>
  <c r="K237" i="5" s="1"/>
  <c r="L527" i="5"/>
  <c r="M527" i="5"/>
  <c r="N527" i="5" s="1"/>
  <c r="P430" i="5"/>
  <c r="Q430" i="5" s="1"/>
  <c r="L320" i="5"/>
  <c r="M320" i="5"/>
  <c r="N320" i="5" s="1"/>
  <c r="M28" i="5"/>
  <c r="N28" i="5" s="1"/>
  <c r="L28" i="5"/>
  <c r="V28" i="5" s="1"/>
  <c r="V29" i="5" s="1"/>
  <c r="M209" i="5"/>
  <c r="N209" i="5" s="1"/>
  <c r="L209" i="5"/>
  <c r="L568" i="5"/>
  <c r="M568" i="5"/>
  <c r="N568" i="5" s="1"/>
  <c r="S98" i="5"/>
  <c r="I36" i="1" s="1"/>
  <c r="S512" i="5"/>
  <c r="G513" i="5" s="1"/>
  <c r="H513" i="5" s="1"/>
  <c r="K513" i="5" s="1"/>
  <c r="S553" i="5"/>
  <c r="G554" i="5" s="1"/>
  <c r="H554" i="5" s="1"/>
  <c r="K554" i="5" s="1"/>
  <c r="M581" i="5"/>
  <c r="N581" i="5" s="1"/>
  <c r="Q456" i="5"/>
  <c r="O595" i="5"/>
  <c r="P595" i="5" s="1"/>
  <c r="O140" i="5"/>
  <c r="P140" i="5" s="1"/>
  <c r="R98" i="5"/>
  <c r="Q346" i="5"/>
  <c r="R308" i="5"/>
  <c r="Q308" i="5"/>
  <c r="S308" i="5" s="1"/>
  <c r="G540" i="5"/>
  <c r="H540" i="5" s="1"/>
  <c r="K540" i="5" s="1"/>
  <c r="G388" i="5"/>
  <c r="H388" i="5" s="1"/>
  <c r="K388" i="5" s="1"/>
  <c r="G154" i="5"/>
  <c r="H154" i="5" s="1"/>
  <c r="K154" i="5" s="1"/>
  <c r="M250" i="5"/>
  <c r="N250" i="5" s="1"/>
  <c r="L250" i="5"/>
  <c r="M402" i="5"/>
  <c r="N402" i="5" s="1"/>
  <c r="L402" i="5"/>
  <c r="P360" i="5"/>
  <c r="P333" i="5"/>
  <c r="P442" i="5"/>
  <c r="O415" i="5"/>
  <c r="O471" i="5"/>
  <c r="R374" i="5"/>
  <c r="Q374" i="5"/>
  <c r="R291" i="5"/>
  <c r="Q291" i="5"/>
  <c r="R280" i="5"/>
  <c r="Q280" i="5"/>
  <c r="S280" i="5" s="1"/>
  <c r="R263" i="5"/>
  <c r="Q263" i="5"/>
  <c r="S263" i="5" s="1"/>
  <c r="O609" i="5" l="1"/>
  <c r="O581" i="5"/>
  <c r="P581" i="5" s="1"/>
  <c r="O320" i="5"/>
  <c r="P320" i="5" s="1"/>
  <c r="O568" i="5"/>
  <c r="P568" i="5" s="1"/>
  <c r="R568" i="5" s="1"/>
  <c r="R430" i="5"/>
  <c r="O527" i="5"/>
  <c r="P527" i="5" s="1"/>
  <c r="R527" i="5" s="1"/>
  <c r="O28" i="5"/>
  <c r="P28" i="5" s="1"/>
  <c r="L554" i="5"/>
  <c r="M554" i="5"/>
  <c r="N554" i="5" s="1"/>
  <c r="L500" i="5"/>
  <c r="M500" i="5"/>
  <c r="N500" i="5" s="1"/>
  <c r="O209" i="5"/>
  <c r="P209" i="5" s="1"/>
  <c r="R209" i="5" s="1"/>
  <c r="S430" i="5"/>
  <c r="G431" i="5" s="1"/>
  <c r="H431" i="5" s="1"/>
  <c r="K431" i="5" s="1"/>
  <c r="S291" i="5"/>
  <c r="G292" i="5" s="1"/>
  <c r="H292" i="5" s="1"/>
  <c r="K292" i="5" s="1"/>
  <c r="S456" i="5"/>
  <c r="G457" i="5" s="1"/>
  <c r="H457" i="5" s="1"/>
  <c r="K457" i="5" s="1"/>
  <c r="S374" i="5"/>
  <c r="G375" i="5" s="1"/>
  <c r="H375" i="5" s="1"/>
  <c r="K375" i="5" s="1"/>
  <c r="S346" i="5"/>
  <c r="G347" i="5" s="1"/>
  <c r="H347" i="5" s="1"/>
  <c r="K347" i="5" s="1"/>
  <c r="L154" i="5"/>
  <c r="M154" i="5"/>
  <c r="N154" i="5" s="1"/>
  <c r="P609" i="5"/>
  <c r="G264" i="5"/>
  <c r="H264" i="5" s="1"/>
  <c r="K264" i="5" s="1"/>
  <c r="M237" i="5"/>
  <c r="N237" i="5" s="1"/>
  <c r="L237" i="5"/>
  <c r="M513" i="5"/>
  <c r="N513" i="5" s="1"/>
  <c r="L513" i="5"/>
  <c r="M540" i="5"/>
  <c r="N540" i="5" s="1"/>
  <c r="L540" i="5"/>
  <c r="M388" i="5"/>
  <c r="N388" i="5" s="1"/>
  <c r="L388" i="5"/>
  <c r="P415" i="5"/>
  <c r="P471" i="5"/>
  <c r="P485" i="5"/>
  <c r="O250" i="5"/>
  <c r="O402" i="5"/>
  <c r="R140" i="5"/>
  <c r="Q140" i="5"/>
  <c r="S140" i="5" s="1"/>
  <c r="R595" i="5"/>
  <c r="Q595" i="5"/>
  <c r="R360" i="5"/>
  <c r="Q360" i="5"/>
  <c r="R333" i="5"/>
  <c r="Q333" i="5"/>
  <c r="R442" i="5"/>
  <c r="Q442" i="5"/>
  <c r="R581" i="5" l="1"/>
  <c r="Q581" i="5"/>
  <c r="Q527" i="5"/>
  <c r="S527" i="5" s="1"/>
  <c r="G528" i="5" s="1"/>
  <c r="H528" i="5" s="1"/>
  <c r="K528" i="5" s="1"/>
  <c r="O554" i="5"/>
  <c r="P554" i="5" s="1"/>
  <c r="O500" i="5"/>
  <c r="P500" i="5" s="1"/>
  <c r="L431" i="5"/>
  <c r="M431" i="5"/>
  <c r="N431" i="5" s="1"/>
  <c r="L457" i="5"/>
  <c r="M457" i="5"/>
  <c r="N457" i="5" s="1"/>
  <c r="L347" i="5"/>
  <c r="M347" i="5"/>
  <c r="N347" i="5" s="1"/>
  <c r="S581" i="5"/>
  <c r="G582" i="5" s="1"/>
  <c r="H582" i="5" s="1"/>
  <c r="K582" i="5" s="1"/>
  <c r="S442" i="5"/>
  <c r="G443" i="5" s="1"/>
  <c r="H443" i="5" s="1"/>
  <c r="K443" i="5" s="1"/>
  <c r="S360" i="5"/>
  <c r="G361" i="5" s="1"/>
  <c r="H361" i="5" s="1"/>
  <c r="K361" i="5" s="1"/>
  <c r="S595" i="5"/>
  <c r="G596" i="5" s="1"/>
  <c r="H596" i="5" s="1"/>
  <c r="K596" i="5" s="1"/>
  <c r="Q209" i="5"/>
  <c r="S333" i="5"/>
  <c r="G334" i="5" s="1"/>
  <c r="H334" i="5" s="1"/>
  <c r="K334" i="5" s="1"/>
  <c r="O540" i="5"/>
  <c r="P540" i="5" s="1"/>
  <c r="R540" i="5" s="1"/>
  <c r="Q568" i="5"/>
  <c r="O154" i="5"/>
  <c r="P154" i="5" s="1"/>
  <c r="Q609" i="5"/>
  <c r="R609" i="5"/>
  <c r="M375" i="5"/>
  <c r="N375" i="5" s="1"/>
  <c r="L375" i="5"/>
  <c r="M292" i="5"/>
  <c r="N292" i="5" s="1"/>
  <c r="L292" i="5"/>
  <c r="M264" i="5"/>
  <c r="N264" i="5" s="1"/>
  <c r="L264" i="5"/>
  <c r="P250" i="5"/>
  <c r="P402" i="5"/>
  <c r="O388" i="5"/>
  <c r="O237" i="5"/>
  <c r="O513" i="5"/>
  <c r="R320" i="5"/>
  <c r="Q320" i="5"/>
  <c r="R415" i="5"/>
  <c r="Q415" i="5"/>
  <c r="Q471" i="5"/>
  <c r="R471" i="5"/>
  <c r="R485" i="5"/>
  <c r="Q485" i="5"/>
  <c r="R28" i="5"/>
  <c r="Q28" i="5"/>
  <c r="S28" i="5" s="1"/>
  <c r="L596" i="5" l="1"/>
  <c r="L528" i="5"/>
  <c r="M528" i="5"/>
  <c r="N528" i="5" s="1"/>
  <c r="R554" i="5"/>
  <c r="Q554" i="5"/>
  <c r="S554" i="5" s="1"/>
  <c r="G555" i="5" s="1"/>
  <c r="H555" i="5" s="1"/>
  <c r="K555" i="5" s="1"/>
  <c r="O347" i="5"/>
  <c r="P347" i="5" s="1"/>
  <c r="O431" i="5"/>
  <c r="P431" i="5" s="1"/>
  <c r="Q500" i="5"/>
  <c r="S500" i="5" s="1"/>
  <c r="G501" i="5" s="1"/>
  <c r="H501" i="5" s="1"/>
  <c r="K501" i="5" s="1"/>
  <c r="M596" i="5"/>
  <c r="N596" i="5" s="1"/>
  <c r="R500" i="5"/>
  <c r="O457" i="5"/>
  <c r="P457" i="5" s="1"/>
  <c r="R457" i="5" s="1"/>
  <c r="L582" i="5"/>
  <c r="M582" i="5"/>
  <c r="N582" i="5" s="1"/>
  <c r="S471" i="5"/>
  <c r="G472" i="5" s="1"/>
  <c r="H472" i="5" s="1"/>
  <c r="K472" i="5" s="1"/>
  <c r="S485" i="5"/>
  <c r="G486" i="5" s="1"/>
  <c r="H486" i="5" s="1"/>
  <c r="K486" i="5" s="1"/>
  <c r="S415" i="5"/>
  <c r="G416" i="5" s="1"/>
  <c r="H416" i="5" s="1"/>
  <c r="K416" i="5" s="1"/>
  <c r="S209" i="5"/>
  <c r="G210" i="5" s="1"/>
  <c r="H210" i="5" s="1"/>
  <c r="K210" i="5" s="1"/>
  <c r="S609" i="5"/>
  <c r="G610" i="5" s="1"/>
  <c r="H610" i="5" s="1"/>
  <c r="K610" i="5" s="1"/>
  <c r="S568" i="5"/>
  <c r="G569" i="5" s="1"/>
  <c r="H569" i="5" s="1"/>
  <c r="K569" i="5" s="1"/>
  <c r="S320" i="5"/>
  <c r="G321" i="5" s="1"/>
  <c r="H321" i="5" s="1"/>
  <c r="K321" i="5" s="1"/>
  <c r="Q540" i="5"/>
  <c r="M361" i="5"/>
  <c r="N361" i="5" s="1"/>
  <c r="L361" i="5"/>
  <c r="M334" i="5"/>
  <c r="N334" i="5" s="1"/>
  <c r="L334" i="5"/>
  <c r="M443" i="5"/>
  <c r="N443" i="5" s="1"/>
  <c r="L443" i="5"/>
  <c r="P388" i="5"/>
  <c r="P237" i="5"/>
  <c r="P513" i="5"/>
  <c r="O375" i="5"/>
  <c r="O292" i="5"/>
  <c r="O264" i="5"/>
  <c r="R250" i="5"/>
  <c r="Q250" i="5"/>
  <c r="R402" i="5"/>
  <c r="Q402" i="5"/>
  <c r="R154" i="5"/>
  <c r="Q154" i="5"/>
  <c r="S154" i="5" s="1"/>
  <c r="O596" i="5" l="1"/>
  <c r="P596" i="5" s="1"/>
  <c r="M555" i="5"/>
  <c r="N555" i="5" s="1"/>
  <c r="L555" i="5"/>
  <c r="O555" i="5" s="1"/>
  <c r="P555" i="5" s="1"/>
  <c r="L569" i="5"/>
  <c r="O528" i="5"/>
  <c r="P528" i="5" s="1"/>
  <c r="Q528" i="5" s="1"/>
  <c r="S528" i="5" s="1"/>
  <c r="G529" i="5" s="1"/>
  <c r="H529" i="5" s="1"/>
  <c r="O582" i="5"/>
  <c r="P582" i="5" s="1"/>
  <c r="Q347" i="5"/>
  <c r="S347" i="5" s="1"/>
  <c r="G348" i="5" s="1"/>
  <c r="H348" i="5" s="1"/>
  <c r="K348" i="5" s="1"/>
  <c r="R347" i="5"/>
  <c r="Q431" i="5"/>
  <c r="S431" i="5" s="1"/>
  <c r="G432" i="5" s="1"/>
  <c r="H432" i="5" s="1"/>
  <c r="K432" i="5" s="1"/>
  <c r="R431" i="5"/>
  <c r="R528" i="5"/>
  <c r="L210" i="5"/>
  <c r="M210" i="5"/>
  <c r="N210" i="5" s="1"/>
  <c r="L610" i="5"/>
  <c r="M610" i="5"/>
  <c r="N610" i="5" s="1"/>
  <c r="S540" i="5"/>
  <c r="G541" i="5" s="1"/>
  <c r="H541" i="5" s="1"/>
  <c r="K541" i="5" s="1"/>
  <c r="S402" i="5"/>
  <c r="G403" i="5" s="1"/>
  <c r="H403" i="5" s="1"/>
  <c r="K403" i="5" s="1"/>
  <c r="M569" i="5"/>
  <c r="N569" i="5" s="1"/>
  <c r="Q457" i="5"/>
  <c r="M501" i="5"/>
  <c r="N501" i="5" s="1"/>
  <c r="L501" i="5"/>
  <c r="S250" i="5"/>
  <c r="G251" i="5" s="1"/>
  <c r="H251" i="5" s="1"/>
  <c r="K251" i="5" s="1"/>
  <c r="R596" i="5"/>
  <c r="Q596" i="5"/>
  <c r="M321" i="5"/>
  <c r="N321" i="5" s="1"/>
  <c r="L321" i="5"/>
  <c r="M416" i="5"/>
  <c r="N416" i="5" s="1"/>
  <c r="L416" i="5"/>
  <c r="M472" i="5"/>
  <c r="N472" i="5" s="1"/>
  <c r="L472" i="5"/>
  <c r="M486" i="5"/>
  <c r="N486" i="5" s="1"/>
  <c r="L486" i="5"/>
  <c r="P375" i="5"/>
  <c r="P292" i="5"/>
  <c r="P264" i="5"/>
  <c r="O361" i="5"/>
  <c r="O334" i="5"/>
  <c r="O443" i="5"/>
  <c r="R388" i="5"/>
  <c r="Q388" i="5"/>
  <c r="R237" i="5"/>
  <c r="Q237" i="5"/>
  <c r="R513" i="5"/>
  <c r="Q513" i="5"/>
  <c r="K529" i="5" l="1"/>
  <c r="L529" i="5" s="1"/>
  <c r="O569" i="5"/>
  <c r="P569" i="5" s="1"/>
  <c r="R569" i="5" s="1"/>
  <c r="L432" i="5"/>
  <c r="M529" i="5"/>
  <c r="N529" i="5" s="1"/>
  <c r="Q582" i="5"/>
  <c r="S582" i="5" s="1"/>
  <c r="G583" i="5" s="1"/>
  <c r="H583" i="5" s="1"/>
  <c r="K583" i="5" s="1"/>
  <c r="R582" i="5"/>
  <c r="O610" i="5"/>
  <c r="P610" i="5" s="1"/>
  <c r="O210" i="5"/>
  <c r="P210" i="5" s="1"/>
  <c r="R210" i="5" s="1"/>
  <c r="O501" i="5"/>
  <c r="L541" i="5"/>
  <c r="M541" i="5"/>
  <c r="N541" i="5" s="1"/>
  <c r="S513" i="5"/>
  <c r="G514" i="5" s="1"/>
  <c r="H514" i="5" s="1"/>
  <c r="K514" i="5" s="1"/>
  <c r="S388" i="5"/>
  <c r="G389" i="5" s="1"/>
  <c r="H389" i="5" s="1"/>
  <c r="K389" i="5" s="1"/>
  <c r="S596" i="5"/>
  <c r="G597" i="5" s="1"/>
  <c r="H597" i="5" s="1"/>
  <c r="K597" i="5" s="1"/>
  <c r="M432" i="5"/>
  <c r="N432" i="5" s="1"/>
  <c r="S457" i="5"/>
  <c r="G458" i="5" s="1"/>
  <c r="H458" i="5" s="1"/>
  <c r="K458" i="5" s="1"/>
  <c r="S237" i="5"/>
  <c r="G238" i="5" s="1"/>
  <c r="H238" i="5" s="1"/>
  <c r="K238" i="5" s="1"/>
  <c r="Q555" i="5"/>
  <c r="R555" i="5"/>
  <c r="M348" i="5"/>
  <c r="N348" i="5" s="1"/>
  <c r="L348" i="5"/>
  <c r="M251" i="5"/>
  <c r="N251" i="5" s="1"/>
  <c r="L251" i="5"/>
  <c r="M403" i="5"/>
  <c r="N403" i="5" s="1"/>
  <c r="L403" i="5"/>
  <c r="P361" i="5"/>
  <c r="P334" i="5"/>
  <c r="P443" i="5"/>
  <c r="O321" i="5"/>
  <c r="O416" i="5"/>
  <c r="O472" i="5"/>
  <c r="O486" i="5"/>
  <c r="R375" i="5"/>
  <c r="Q375" i="5"/>
  <c r="R292" i="5"/>
  <c r="Q292" i="5"/>
  <c r="R264" i="5"/>
  <c r="Q264" i="5"/>
  <c r="Q569" i="5"/>
  <c r="O529" i="5" l="1"/>
  <c r="P529" i="5" s="1"/>
  <c r="O432" i="5"/>
  <c r="P432" i="5" s="1"/>
  <c r="R432" i="5" s="1"/>
  <c r="O541" i="5"/>
  <c r="P541" i="5" s="1"/>
  <c r="Q210" i="5"/>
  <c r="S210" i="5" s="1"/>
  <c r="R529" i="5"/>
  <c r="Q529" i="5"/>
  <c r="S529" i="5" s="1"/>
  <c r="G530" i="5" s="1"/>
  <c r="H530" i="5" s="1"/>
  <c r="K530" i="5" s="1"/>
  <c r="P501" i="5"/>
  <c r="R501" i="5" s="1"/>
  <c r="M238" i="5"/>
  <c r="N238" i="5" s="1"/>
  <c r="L238" i="5"/>
  <c r="M597" i="5"/>
  <c r="N597" i="5" s="1"/>
  <c r="L597" i="5"/>
  <c r="M583" i="5"/>
  <c r="N583" i="5" s="1"/>
  <c r="L583" i="5"/>
  <c r="S569" i="5"/>
  <c r="G570" i="5" s="1"/>
  <c r="H570" i="5" s="1"/>
  <c r="K570" i="5" s="1"/>
  <c r="S555" i="5"/>
  <c r="G556" i="5" s="1"/>
  <c r="H556" i="5" s="1"/>
  <c r="K556" i="5" s="1"/>
  <c r="S292" i="5"/>
  <c r="G293" i="5" s="1"/>
  <c r="H293" i="5" s="1"/>
  <c r="K293" i="5" s="1"/>
  <c r="M458" i="5"/>
  <c r="N458" i="5" s="1"/>
  <c r="L458" i="5"/>
  <c r="S264" i="5"/>
  <c r="G265" i="5" s="1"/>
  <c r="H265" i="5" s="1"/>
  <c r="K265" i="5" s="1"/>
  <c r="S375" i="5"/>
  <c r="G376" i="5" s="1"/>
  <c r="H376" i="5" s="1"/>
  <c r="K376" i="5" s="1"/>
  <c r="R610" i="5"/>
  <c r="Q610" i="5"/>
  <c r="R334" i="5"/>
  <c r="Q334" i="5"/>
  <c r="M389" i="5"/>
  <c r="N389" i="5" s="1"/>
  <c r="L389" i="5"/>
  <c r="M514" i="5"/>
  <c r="N514" i="5" s="1"/>
  <c r="L514" i="5"/>
  <c r="P321" i="5"/>
  <c r="P416" i="5"/>
  <c r="P472" i="5"/>
  <c r="P486" i="5"/>
  <c r="O251" i="5"/>
  <c r="O403" i="5"/>
  <c r="O348" i="5"/>
  <c r="R361" i="5"/>
  <c r="Q361" i="5"/>
  <c r="R443" i="5"/>
  <c r="Q443" i="5"/>
  <c r="O238" i="5" l="1"/>
  <c r="P238" i="5" s="1"/>
  <c r="O597" i="5"/>
  <c r="Q501" i="5"/>
  <c r="S501" i="5" s="1"/>
  <c r="G502" i="5" s="1"/>
  <c r="H502" i="5" s="1"/>
  <c r="K502" i="5" s="1"/>
  <c r="O583" i="5"/>
  <c r="P583" i="5" s="1"/>
  <c r="R583" i="5" s="1"/>
  <c r="M556" i="5"/>
  <c r="N556" i="5" s="1"/>
  <c r="L556" i="5"/>
  <c r="S443" i="5"/>
  <c r="G444" i="5" s="1"/>
  <c r="H444" i="5" s="1"/>
  <c r="K444" i="5" s="1"/>
  <c r="S610" i="5"/>
  <c r="G611" i="5" s="1"/>
  <c r="H611" i="5" s="1"/>
  <c r="K611" i="5" s="1"/>
  <c r="S334" i="5"/>
  <c r="G335" i="5" s="1"/>
  <c r="H335" i="5" s="1"/>
  <c r="K335" i="5" s="1"/>
  <c r="S361" i="5"/>
  <c r="G362" i="5" s="1"/>
  <c r="H362" i="5" s="1"/>
  <c r="K362" i="5" s="1"/>
  <c r="O458" i="5"/>
  <c r="Q432" i="5"/>
  <c r="O514" i="5"/>
  <c r="P514" i="5" s="1"/>
  <c r="R514" i="5" s="1"/>
  <c r="P597" i="5"/>
  <c r="R597" i="5" s="1"/>
  <c r="M530" i="5"/>
  <c r="N530" i="5" s="1"/>
  <c r="L530" i="5"/>
  <c r="M376" i="5"/>
  <c r="N376" i="5" s="1"/>
  <c r="L376" i="5"/>
  <c r="M293" i="5"/>
  <c r="N293" i="5" s="1"/>
  <c r="L293" i="5"/>
  <c r="M265" i="5"/>
  <c r="N265" i="5" s="1"/>
  <c r="L265" i="5"/>
  <c r="M570" i="5"/>
  <c r="N570" i="5" s="1"/>
  <c r="L570" i="5"/>
  <c r="P251" i="5"/>
  <c r="P403" i="5"/>
  <c r="P348" i="5"/>
  <c r="O389" i="5"/>
  <c r="R321" i="5"/>
  <c r="Q321" i="5"/>
  <c r="R416" i="5"/>
  <c r="Q416" i="5"/>
  <c r="R472" i="5"/>
  <c r="Q472" i="5"/>
  <c r="R486" i="5"/>
  <c r="Q486" i="5"/>
  <c r="R541" i="5"/>
  <c r="Q541" i="5"/>
  <c r="L502" i="5" l="1"/>
  <c r="M502" i="5"/>
  <c r="N502" i="5" s="1"/>
  <c r="O556" i="5"/>
  <c r="P556" i="5" s="1"/>
  <c r="L611" i="5"/>
  <c r="M611" i="5"/>
  <c r="N611" i="5" s="1"/>
  <c r="L335" i="5"/>
  <c r="M335" i="5"/>
  <c r="N335" i="5" s="1"/>
  <c r="S472" i="5"/>
  <c r="G473" i="5" s="1"/>
  <c r="H473" i="5" s="1"/>
  <c r="K473" i="5" s="1"/>
  <c r="S486" i="5"/>
  <c r="G487" i="5" s="1"/>
  <c r="H487" i="5" s="1"/>
  <c r="K487" i="5" s="1"/>
  <c r="S416" i="5"/>
  <c r="G417" i="5" s="1"/>
  <c r="H417" i="5" s="1"/>
  <c r="K417" i="5" s="1"/>
  <c r="S432" i="5"/>
  <c r="G433" i="5" s="1"/>
  <c r="H433" i="5" s="1"/>
  <c r="K433" i="5" s="1"/>
  <c r="P458" i="5"/>
  <c r="Q458" i="5" s="1"/>
  <c r="S321" i="5"/>
  <c r="G322" i="5" s="1"/>
  <c r="H322" i="5" s="1"/>
  <c r="K322" i="5" s="1"/>
  <c r="S541" i="5"/>
  <c r="G542" i="5" s="1"/>
  <c r="H542" i="5" s="1"/>
  <c r="K542" i="5" s="1"/>
  <c r="Q583" i="5"/>
  <c r="Q514" i="5"/>
  <c r="Q597" i="5"/>
  <c r="O530" i="5"/>
  <c r="O265" i="5"/>
  <c r="M362" i="5"/>
  <c r="N362" i="5" s="1"/>
  <c r="L362" i="5"/>
  <c r="M444" i="5"/>
  <c r="N444" i="5" s="1"/>
  <c r="L444" i="5"/>
  <c r="P389" i="5"/>
  <c r="O570" i="5"/>
  <c r="O376" i="5"/>
  <c r="O293" i="5"/>
  <c r="R251" i="5"/>
  <c r="Q251" i="5"/>
  <c r="R403" i="5"/>
  <c r="Q403" i="5"/>
  <c r="R238" i="5"/>
  <c r="Q238" i="5"/>
  <c r="S238" i="5" s="1"/>
  <c r="R348" i="5"/>
  <c r="Q348" i="5"/>
  <c r="M322" i="5" l="1"/>
  <c r="N322" i="5" s="1"/>
  <c r="O502" i="5"/>
  <c r="P502" i="5" s="1"/>
  <c r="Q502" i="5" s="1"/>
  <c r="S502" i="5" s="1"/>
  <c r="G503" i="5" s="1"/>
  <c r="H503" i="5" s="1"/>
  <c r="K503" i="5" s="1"/>
  <c r="O335" i="5"/>
  <c r="R458" i="5"/>
  <c r="O611" i="5"/>
  <c r="P611" i="5" s="1"/>
  <c r="L433" i="5"/>
  <c r="M433" i="5"/>
  <c r="N433" i="5" s="1"/>
  <c r="S251" i="5"/>
  <c r="G252" i="5" s="1"/>
  <c r="H252" i="5" s="1"/>
  <c r="K252" i="5" s="1"/>
  <c r="S583" i="5"/>
  <c r="G584" i="5" s="1"/>
  <c r="H584" i="5" s="1"/>
  <c r="K584" i="5" s="1"/>
  <c r="S458" i="5"/>
  <c r="G459" i="5" s="1"/>
  <c r="H459" i="5" s="1"/>
  <c r="K459" i="5" s="1"/>
  <c r="S348" i="5"/>
  <c r="G349" i="5" s="1"/>
  <c r="H349" i="5" s="1"/>
  <c r="K349" i="5" s="1"/>
  <c r="S403" i="5"/>
  <c r="G404" i="5" s="1"/>
  <c r="H404" i="5" s="1"/>
  <c r="K404" i="5" s="1"/>
  <c r="L322" i="5"/>
  <c r="O322" i="5" s="1"/>
  <c r="S514" i="5"/>
  <c r="G515" i="5" s="1"/>
  <c r="H515" i="5" s="1"/>
  <c r="K515" i="5" s="1"/>
  <c r="S597" i="5"/>
  <c r="G598" i="5" s="1"/>
  <c r="H598" i="5" s="1"/>
  <c r="K598" i="5" s="1"/>
  <c r="P530" i="5"/>
  <c r="P265" i="5"/>
  <c r="M417" i="5"/>
  <c r="N417" i="5" s="1"/>
  <c r="L417" i="5"/>
  <c r="M473" i="5"/>
  <c r="N473" i="5" s="1"/>
  <c r="L473" i="5"/>
  <c r="M487" i="5"/>
  <c r="N487" i="5" s="1"/>
  <c r="L487" i="5"/>
  <c r="M542" i="5"/>
  <c r="N542" i="5" s="1"/>
  <c r="L542" i="5"/>
  <c r="P570" i="5"/>
  <c r="P335" i="5"/>
  <c r="P376" i="5"/>
  <c r="P293" i="5"/>
  <c r="O362" i="5"/>
  <c r="O444" i="5"/>
  <c r="R556" i="5"/>
  <c r="Q556" i="5"/>
  <c r="R389" i="5"/>
  <c r="Q389" i="5"/>
  <c r="L598" i="5" l="1"/>
  <c r="R502" i="5"/>
  <c r="L503" i="5"/>
  <c r="M503" i="5"/>
  <c r="N503" i="5" s="1"/>
  <c r="O433" i="5"/>
  <c r="P433" i="5" s="1"/>
  <c r="M598" i="5"/>
  <c r="N598" i="5" s="1"/>
  <c r="M515" i="5"/>
  <c r="N515" i="5" s="1"/>
  <c r="L515" i="5"/>
  <c r="M459" i="5"/>
  <c r="N459" i="5" s="1"/>
  <c r="L459" i="5"/>
  <c r="M584" i="5"/>
  <c r="N584" i="5" s="1"/>
  <c r="L584" i="5"/>
  <c r="M252" i="5"/>
  <c r="N252" i="5" s="1"/>
  <c r="L252" i="5"/>
  <c r="S556" i="5"/>
  <c r="G557" i="5" s="1"/>
  <c r="H557" i="5" s="1"/>
  <c r="K557" i="5" s="1"/>
  <c r="S389" i="5"/>
  <c r="G390" i="5" s="1"/>
  <c r="H390" i="5" s="1"/>
  <c r="K390" i="5" s="1"/>
  <c r="R611" i="5"/>
  <c r="Q611" i="5"/>
  <c r="R265" i="5"/>
  <c r="Q265" i="5"/>
  <c r="R530" i="5"/>
  <c r="Q530" i="5"/>
  <c r="O473" i="5"/>
  <c r="M404" i="5"/>
  <c r="N404" i="5" s="1"/>
  <c r="L404" i="5"/>
  <c r="M349" i="5"/>
  <c r="N349" i="5" s="1"/>
  <c r="L349" i="5"/>
  <c r="P322" i="5"/>
  <c r="P362" i="5"/>
  <c r="P444" i="5"/>
  <c r="O417" i="5"/>
  <c r="O487" i="5"/>
  <c r="O542" i="5"/>
  <c r="R570" i="5"/>
  <c r="Q570" i="5"/>
  <c r="R335" i="5"/>
  <c r="Q335" i="5"/>
  <c r="R376" i="5"/>
  <c r="Q376" i="5"/>
  <c r="R293" i="5"/>
  <c r="Q293" i="5"/>
  <c r="O598" i="5" l="1"/>
  <c r="P598" i="5" s="1"/>
  <c r="Q433" i="5"/>
  <c r="S433" i="5" s="1"/>
  <c r="G434" i="5" s="1"/>
  <c r="H434" i="5" s="1"/>
  <c r="K434" i="5" s="1"/>
  <c r="R433" i="5"/>
  <c r="O252" i="5"/>
  <c r="P252" i="5" s="1"/>
  <c r="O503" i="5"/>
  <c r="O515" i="5"/>
  <c r="P515" i="5" s="1"/>
  <c r="S293" i="5"/>
  <c r="G294" i="5" s="1"/>
  <c r="H294" i="5" s="1"/>
  <c r="K294" i="5" s="1"/>
  <c r="S335" i="5"/>
  <c r="G336" i="5" s="1"/>
  <c r="H336" i="5" s="1"/>
  <c r="K336" i="5" s="1"/>
  <c r="S265" i="5"/>
  <c r="G266" i="5" s="1"/>
  <c r="H266" i="5" s="1"/>
  <c r="K266" i="5" s="1"/>
  <c r="O584" i="5"/>
  <c r="S376" i="5"/>
  <c r="G377" i="5" s="1"/>
  <c r="H377" i="5" s="1"/>
  <c r="K377" i="5" s="1"/>
  <c r="S570" i="5"/>
  <c r="G571" i="5" s="1"/>
  <c r="H571" i="5" s="1"/>
  <c r="K571" i="5" s="1"/>
  <c r="S611" i="5"/>
  <c r="G612" i="5" s="1"/>
  <c r="H612" i="5" s="1"/>
  <c r="K612" i="5" s="1"/>
  <c r="S530" i="5"/>
  <c r="G531" i="5" s="1"/>
  <c r="H531" i="5" s="1"/>
  <c r="K531" i="5" s="1"/>
  <c r="O459" i="5"/>
  <c r="R598" i="5"/>
  <c r="Q598" i="5"/>
  <c r="P473" i="5"/>
  <c r="R473" i="5" s="1"/>
  <c r="M557" i="5"/>
  <c r="N557" i="5" s="1"/>
  <c r="L557" i="5"/>
  <c r="M390" i="5"/>
  <c r="N390" i="5" s="1"/>
  <c r="L390" i="5"/>
  <c r="P417" i="5"/>
  <c r="P487" i="5"/>
  <c r="P542" i="5"/>
  <c r="O404" i="5"/>
  <c r="O349" i="5"/>
  <c r="R322" i="5"/>
  <c r="Q322" i="5"/>
  <c r="S322" i="5" s="1"/>
  <c r="R362" i="5"/>
  <c r="Q362" i="5"/>
  <c r="R444" i="5"/>
  <c r="Q444" i="5"/>
  <c r="M531" i="5" l="1"/>
  <c r="N531" i="5" s="1"/>
  <c r="L531" i="5"/>
  <c r="O531" i="5" s="1"/>
  <c r="P531" i="5" s="1"/>
  <c r="M266" i="5"/>
  <c r="N266" i="5" s="1"/>
  <c r="P503" i="5"/>
  <c r="Q503" i="5" s="1"/>
  <c r="S503" i="5" s="1"/>
  <c r="G504" i="5" s="1"/>
  <c r="H504" i="5" s="1"/>
  <c r="K504" i="5" s="1"/>
  <c r="L294" i="5"/>
  <c r="M294" i="5"/>
  <c r="N294" i="5" s="1"/>
  <c r="M434" i="5"/>
  <c r="N434" i="5" s="1"/>
  <c r="L434" i="5"/>
  <c r="M612" i="5"/>
  <c r="N612" i="5" s="1"/>
  <c r="L612" i="5"/>
  <c r="M336" i="5"/>
  <c r="N336" i="5" s="1"/>
  <c r="L336" i="5"/>
  <c r="S362" i="5"/>
  <c r="G363" i="5" s="1"/>
  <c r="H363" i="5" s="1"/>
  <c r="K363" i="5" s="1"/>
  <c r="S598" i="5"/>
  <c r="G599" i="5" s="1"/>
  <c r="H599" i="5" s="1"/>
  <c r="K599" i="5" s="1"/>
  <c r="P584" i="5"/>
  <c r="Q584" i="5" s="1"/>
  <c r="P459" i="5"/>
  <c r="Q459" i="5" s="1"/>
  <c r="S444" i="5"/>
  <c r="G445" i="5" s="1"/>
  <c r="H445" i="5" s="1"/>
  <c r="K445" i="5" s="1"/>
  <c r="L266" i="5"/>
  <c r="Q473" i="5"/>
  <c r="M571" i="5"/>
  <c r="N571" i="5" s="1"/>
  <c r="L571" i="5"/>
  <c r="M377" i="5"/>
  <c r="N377" i="5" s="1"/>
  <c r="L377" i="5"/>
  <c r="P404" i="5"/>
  <c r="P349" i="5"/>
  <c r="O557" i="5"/>
  <c r="O390" i="5"/>
  <c r="R515" i="5"/>
  <c r="Q515" i="5"/>
  <c r="R417" i="5"/>
  <c r="Q417" i="5"/>
  <c r="R487" i="5"/>
  <c r="Q487" i="5"/>
  <c r="R542" i="5"/>
  <c r="Q542" i="5"/>
  <c r="R252" i="5"/>
  <c r="Q252" i="5"/>
  <c r="S252" i="5" s="1"/>
  <c r="O266" i="5" l="1"/>
  <c r="M504" i="5"/>
  <c r="N504" i="5" s="1"/>
  <c r="L504" i="5"/>
  <c r="O336" i="5"/>
  <c r="P336" i="5" s="1"/>
  <c r="R503" i="5"/>
  <c r="O434" i="5"/>
  <c r="P434" i="5" s="1"/>
  <c r="R459" i="5"/>
  <c r="R584" i="5"/>
  <c r="O612" i="5"/>
  <c r="P612" i="5" s="1"/>
  <c r="O294" i="5"/>
  <c r="P294" i="5" s="1"/>
  <c r="L599" i="5"/>
  <c r="M599" i="5"/>
  <c r="N599" i="5" s="1"/>
  <c r="S542" i="5"/>
  <c r="G543" i="5" s="1"/>
  <c r="H543" i="5" s="1"/>
  <c r="K543" i="5" s="1"/>
  <c r="S459" i="5"/>
  <c r="G460" i="5" s="1"/>
  <c r="H460" i="5" s="1"/>
  <c r="K460" i="5" s="1"/>
  <c r="S584" i="5"/>
  <c r="G585" i="5" s="1"/>
  <c r="H585" i="5" s="1"/>
  <c r="K585" i="5" s="1"/>
  <c r="S417" i="5"/>
  <c r="G418" i="5" s="1"/>
  <c r="H418" i="5" s="1"/>
  <c r="K418" i="5" s="1"/>
  <c r="S473" i="5"/>
  <c r="G474" i="5" s="1"/>
  <c r="H474" i="5" s="1"/>
  <c r="K474" i="5" s="1"/>
  <c r="S487" i="5"/>
  <c r="G488" i="5" s="1"/>
  <c r="H488" i="5" s="1"/>
  <c r="K488" i="5" s="1"/>
  <c r="S515" i="5"/>
  <c r="G516" i="5" s="1"/>
  <c r="H516" i="5" s="1"/>
  <c r="K516" i="5" s="1"/>
  <c r="Q336" i="5"/>
  <c r="S336" i="5" s="1"/>
  <c r="Q531" i="5"/>
  <c r="R531" i="5"/>
  <c r="P266" i="5"/>
  <c r="R266" i="5" s="1"/>
  <c r="R349" i="5"/>
  <c r="Q349" i="5"/>
  <c r="M363" i="5"/>
  <c r="N363" i="5" s="1"/>
  <c r="L363" i="5"/>
  <c r="M445" i="5"/>
  <c r="N445" i="5" s="1"/>
  <c r="L445" i="5"/>
  <c r="P557" i="5"/>
  <c r="P390" i="5"/>
  <c r="O377" i="5"/>
  <c r="O571" i="5"/>
  <c r="R404" i="5"/>
  <c r="Q404" i="5"/>
  <c r="O504" i="5" l="1"/>
  <c r="P504" i="5" s="1"/>
  <c r="Q504" i="5" s="1"/>
  <c r="S504" i="5" s="1"/>
  <c r="R336" i="5"/>
  <c r="R612" i="5"/>
  <c r="Q612" i="5"/>
  <c r="S612" i="5" s="1"/>
  <c r="G613" i="5" s="1"/>
  <c r="H613" i="5" s="1"/>
  <c r="K613" i="5" s="1"/>
  <c r="O599" i="5"/>
  <c r="P599" i="5" s="1"/>
  <c r="R599" i="5" s="1"/>
  <c r="M585" i="5"/>
  <c r="N585" i="5" s="1"/>
  <c r="L585" i="5"/>
  <c r="L474" i="5"/>
  <c r="M474" i="5"/>
  <c r="N474" i="5" s="1"/>
  <c r="S404" i="5"/>
  <c r="G405" i="5" s="1"/>
  <c r="H405" i="5" s="1"/>
  <c r="K405" i="5" s="1"/>
  <c r="S531" i="5"/>
  <c r="G532" i="5" s="1"/>
  <c r="H532" i="5" s="1"/>
  <c r="K532" i="5" s="1"/>
  <c r="S349" i="5"/>
  <c r="G350" i="5" s="1"/>
  <c r="H350" i="5" s="1"/>
  <c r="K350" i="5" s="1"/>
  <c r="M460" i="5"/>
  <c r="N460" i="5" s="1"/>
  <c r="L460" i="5"/>
  <c r="Q266" i="5"/>
  <c r="S266" i="5" s="1"/>
  <c r="O363" i="5"/>
  <c r="O445" i="5"/>
  <c r="M516" i="5"/>
  <c r="N516" i="5" s="1"/>
  <c r="L516" i="5"/>
  <c r="M418" i="5"/>
  <c r="N418" i="5" s="1"/>
  <c r="L418" i="5"/>
  <c r="M488" i="5"/>
  <c r="N488" i="5" s="1"/>
  <c r="L488" i="5"/>
  <c r="M543" i="5"/>
  <c r="N543" i="5" s="1"/>
  <c r="L543" i="5"/>
  <c r="P377" i="5"/>
  <c r="P571" i="5"/>
  <c r="R294" i="5"/>
  <c r="Q294" i="5"/>
  <c r="S294" i="5" s="1"/>
  <c r="R557" i="5"/>
  <c r="Q557" i="5"/>
  <c r="R390" i="5"/>
  <c r="Q390" i="5"/>
  <c r="R434" i="5"/>
  <c r="Q434" i="5"/>
  <c r="S434" i="5" s="1"/>
  <c r="R504" i="5" l="1"/>
  <c r="L350" i="5"/>
  <c r="Q599" i="5"/>
  <c r="S599" i="5" s="1"/>
  <c r="G600" i="5" s="1"/>
  <c r="H600" i="5" s="1"/>
  <c r="K600" i="5" s="1"/>
  <c r="O474" i="5"/>
  <c r="P474" i="5" s="1"/>
  <c r="M613" i="5"/>
  <c r="N613" i="5" s="1"/>
  <c r="L613" i="5"/>
  <c r="M532" i="5"/>
  <c r="N532" i="5" s="1"/>
  <c r="L532" i="5"/>
  <c r="S390" i="5"/>
  <c r="G391" i="5" s="1"/>
  <c r="H391" i="5" s="1"/>
  <c r="K391" i="5" s="1"/>
  <c r="S557" i="5"/>
  <c r="G558" i="5" s="1"/>
  <c r="H558" i="5" s="1"/>
  <c r="K558" i="5" s="1"/>
  <c r="O460" i="5"/>
  <c r="O585" i="5"/>
  <c r="M350" i="5"/>
  <c r="N350" i="5" s="1"/>
  <c r="P363" i="5"/>
  <c r="P445" i="5"/>
  <c r="M405" i="5"/>
  <c r="N405" i="5" s="1"/>
  <c r="L405" i="5"/>
  <c r="O516" i="5"/>
  <c r="O418" i="5"/>
  <c r="O488" i="5"/>
  <c r="O543" i="5"/>
  <c r="R377" i="5"/>
  <c r="Q377" i="5"/>
  <c r="R571" i="5"/>
  <c r="Q571" i="5"/>
  <c r="O613" i="5" l="1"/>
  <c r="L600" i="5"/>
  <c r="O350" i="5"/>
  <c r="P350" i="5" s="1"/>
  <c r="Q474" i="5"/>
  <c r="S474" i="5" s="1"/>
  <c r="G475" i="5" s="1"/>
  <c r="H475" i="5" s="1"/>
  <c r="K475" i="5" s="1"/>
  <c r="R474" i="5"/>
  <c r="O532" i="5"/>
  <c r="P532" i="5" s="1"/>
  <c r="R532" i="5" s="1"/>
  <c r="S377" i="5"/>
  <c r="G378" i="5" s="1"/>
  <c r="H378" i="5" s="1"/>
  <c r="K378" i="5" s="1"/>
  <c r="P460" i="5"/>
  <c r="Q460" i="5" s="1"/>
  <c r="S571" i="5"/>
  <c r="G572" i="5" s="1"/>
  <c r="H572" i="5" s="1"/>
  <c r="K572" i="5" s="1"/>
  <c r="P585" i="5"/>
  <c r="Q585" i="5" s="1"/>
  <c r="M600" i="5"/>
  <c r="N600" i="5" s="1"/>
  <c r="P613" i="5"/>
  <c r="R363" i="5"/>
  <c r="Q363" i="5"/>
  <c r="Q445" i="5"/>
  <c r="R445" i="5"/>
  <c r="M558" i="5"/>
  <c r="N558" i="5" s="1"/>
  <c r="L558" i="5"/>
  <c r="M391" i="5"/>
  <c r="N391" i="5" s="1"/>
  <c r="L391" i="5"/>
  <c r="P516" i="5"/>
  <c r="P418" i="5"/>
  <c r="P488" i="5"/>
  <c r="P543" i="5"/>
  <c r="O405" i="5"/>
  <c r="O600" i="5" l="1"/>
  <c r="P600" i="5" s="1"/>
  <c r="Q532" i="5"/>
  <c r="S532" i="5" s="1"/>
  <c r="R460" i="5"/>
  <c r="R600" i="5"/>
  <c r="Q600" i="5"/>
  <c r="S600" i="5" s="1"/>
  <c r="G601" i="5" s="1"/>
  <c r="H601" i="5" s="1"/>
  <c r="K601" i="5" s="1"/>
  <c r="S585" i="5"/>
  <c r="G586" i="5" s="1"/>
  <c r="H586" i="5" s="1"/>
  <c r="K586" i="5" s="1"/>
  <c r="S460" i="5"/>
  <c r="G461" i="5" s="1"/>
  <c r="H461" i="5" s="1"/>
  <c r="K461" i="5" s="1"/>
  <c r="M378" i="5"/>
  <c r="N378" i="5" s="1"/>
  <c r="L378" i="5"/>
  <c r="S363" i="5"/>
  <c r="G364" i="5" s="1"/>
  <c r="H364" i="5" s="1"/>
  <c r="K364" i="5" s="1"/>
  <c r="R585" i="5"/>
  <c r="S445" i="5"/>
  <c r="G446" i="5" s="1"/>
  <c r="H446" i="5" s="1"/>
  <c r="K446" i="5" s="1"/>
  <c r="R613" i="5"/>
  <c r="Q613" i="5"/>
  <c r="R350" i="5"/>
  <c r="Q350" i="5"/>
  <c r="S350" i="5" s="1"/>
  <c r="Q418" i="5"/>
  <c r="R418" i="5"/>
  <c r="Q543" i="5"/>
  <c r="R543" i="5"/>
  <c r="M475" i="5"/>
  <c r="N475" i="5" s="1"/>
  <c r="L475" i="5"/>
  <c r="M572" i="5"/>
  <c r="N572" i="5" s="1"/>
  <c r="L572" i="5"/>
  <c r="P405" i="5"/>
  <c r="O558" i="5"/>
  <c r="O391" i="5"/>
  <c r="R516" i="5"/>
  <c r="Q516" i="5"/>
  <c r="R488" i="5"/>
  <c r="Q488" i="5"/>
  <c r="M364" i="5" l="1"/>
  <c r="N364" i="5" s="1"/>
  <c r="O378" i="5"/>
  <c r="P378" i="5" s="1"/>
  <c r="M461" i="5"/>
  <c r="N461" i="5" s="1"/>
  <c r="L461" i="5"/>
  <c r="L446" i="5"/>
  <c r="M446" i="5"/>
  <c r="N446" i="5" s="1"/>
  <c r="M601" i="5"/>
  <c r="N601" i="5" s="1"/>
  <c r="L601" i="5"/>
  <c r="S543" i="5"/>
  <c r="G544" i="5" s="1"/>
  <c r="H544" i="5" s="1"/>
  <c r="K544" i="5" s="1"/>
  <c r="L364" i="5"/>
  <c r="O364" i="5" s="1"/>
  <c r="S516" i="5"/>
  <c r="G517" i="5" s="1"/>
  <c r="H517" i="5" s="1"/>
  <c r="K517" i="5" s="1"/>
  <c r="S613" i="5"/>
  <c r="G614" i="5" s="1"/>
  <c r="H614" i="5" s="1"/>
  <c r="K614" i="5" s="1"/>
  <c r="S488" i="5"/>
  <c r="G489" i="5" s="1"/>
  <c r="H489" i="5" s="1"/>
  <c r="K489" i="5" s="1"/>
  <c r="S418" i="5"/>
  <c r="G419" i="5" s="1"/>
  <c r="H419" i="5" s="1"/>
  <c r="K419" i="5" s="1"/>
  <c r="L586" i="5"/>
  <c r="M586" i="5"/>
  <c r="N586" i="5" s="1"/>
  <c r="P558" i="5"/>
  <c r="P391" i="5"/>
  <c r="O475" i="5"/>
  <c r="O572" i="5"/>
  <c r="R405" i="5"/>
  <c r="Q405" i="5"/>
  <c r="L614" i="5" l="1"/>
  <c r="O601" i="5"/>
  <c r="P601" i="5" s="1"/>
  <c r="R601" i="5" s="1"/>
  <c r="O586" i="5"/>
  <c r="P586" i="5" s="1"/>
  <c r="Q586" i="5" s="1"/>
  <c r="S586" i="5" s="1"/>
  <c r="G587" i="5" s="1"/>
  <c r="H587" i="5" s="1"/>
  <c r="K587" i="5" s="1"/>
  <c r="O446" i="5"/>
  <c r="P446" i="5" s="1"/>
  <c r="L419" i="5"/>
  <c r="M419" i="5"/>
  <c r="N419" i="5" s="1"/>
  <c r="L544" i="5"/>
  <c r="M544" i="5"/>
  <c r="N544" i="5" s="1"/>
  <c r="M614" i="5"/>
  <c r="N614" i="5" s="1"/>
  <c r="S405" i="5"/>
  <c r="G406" i="5" s="1"/>
  <c r="H406" i="5" s="1"/>
  <c r="K406" i="5" s="1"/>
  <c r="O461" i="5"/>
  <c r="P364" i="5"/>
  <c r="R391" i="5"/>
  <c r="Q391" i="5"/>
  <c r="M517" i="5"/>
  <c r="N517" i="5" s="1"/>
  <c r="L517" i="5"/>
  <c r="M489" i="5"/>
  <c r="N489" i="5" s="1"/>
  <c r="L489" i="5"/>
  <c r="P475" i="5"/>
  <c r="P572" i="5"/>
  <c r="R378" i="5"/>
  <c r="Q378" i="5"/>
  <c r="S378" i="5" s="1"/>
  <c r="R558" i="5"/>
  <c r="Q558" i="5"/>
  <c r="Q601" i="5" l="1"/>
  <c r="S601" i="5" s="1"/>
  <c r="G602" i="5" s="1"/>
  <c r="H602" i="5" s="1"/>
  <c r="K602" i="5" s="1"/>
  <c r="O614" i="5"/>
  <c r="P614" i="5" s="1"/>
  <c r="M406" i="5"/>
  <c r="N406" i="5" s="1"/>
  <c r="L406" i="5"/>
  <c r="O406" i="5" s="1"/>
  <c r="Q446" i="5"/>
  <c r="S446" i="5" s="1"/>
  <c r="G447" i="5" s="1"/>
  <c r="H447" i="5" s="1"/>
  <c r="K447" i="5" s="1"/>
  <c r="R586" i="5"/>
  <c r="O419" i="5"/>
  <c r="P419" i="5" s="1"/>
  <c r="R419" i="5" s="1"/>
  <c r="R446" i="5"/>
  <c r="O544" i="5"/>
  <c r="P544" i="5" s="1"/>
  <c r="M587" i="5"/>
  <c r="N587" i="5" s="1"/>
  <c r="L587" i="5"/>
  <c r="S391" i="5"/>
  <c r="G392" i="5" s="1"/>
  <c r="H392" i="5" s="1"/>
  <c r="K392" i="5" s="1"/>
  <c r="P461" i="5"/>
  <c r="R461" i="5" s="1"/>
  <c r="S558" i="5"/>
  <c r="G559" i="5" s="1"/>
  <c r="H559" i="5" s="1"/>
  <c r="K559" i="5" s="1"/>
  <c r="R364" i="5"/>
  <c r="Q364" i="5"/>
  <c r="S364" i="5" s="1"/>
  <c r="O489" i="5"/>
  <c r="O517" i="5"/>
  <c r="R475" i="5"/>
  <c r="Q475" i="5"/>
  <c r="R572" i="5"/>
  <c r="Q572" i="5"/>
  <c r="R614" i="5" l="1"/>
  <c r="Q614" i="5"/>
  <c r="O587" i="5"/>
  <c r="P587" i="5" s="1"/>
  <c r="M602" i="5"/>
  <c r="N602" i="5" s="1"/>
  <c r="L602" i="5"/>
  <c r="L392" i="5"/>
  <c r="M392" i="5"/>
  <c r="N392" i="5" s="1"/>
  <c r="S475" i="5"/>
  <c r="G476" i="5" s="1"/>
  <c r="H476" i="5" s="1"/>
  <c r="K476" i="5" s="1"/>
  <c r="Q461" i="5"/>
  <c r="S572" i="5"/>
  <c r="G573" i="5" s="1"/>
  <c r="H573" i="5" s="1"/>
  <c r="K573" i="5" s="1"/>
  <c r="S614" i="5"/>
  <c r="G615" i="5" s="1"/>
  <c r="H615" i="5" s="1"/>
  <c r="K615" i="5" s="1"/>
  <c r="Q419" i="5"/>
  <c r="I37" i="1"/>
  <c r="I38" i="1"/>
  <c r="I35" i="1"/>
  <c r="I56" i="1"/>
  <c r="I73" i="1"/>
  <c r="I67" i="1"/>
  <c r="I58" i="1"/>
  <c r="I72" i="1"/>
  <c r="I47" i="1"/>
  <c r="I53" i="1"/>
  <c r="I62" i="1"/>
  <c r="I60" i="1"/>
  <c r="I69" i="1"/>
  <c r="I45" i="1"/>
  <c r="I61" i="1"/>
  <c r="I55" i="1"/>
  <c r="I46" i="1"/>
  <c r="I63" i="1"/>
  <c r="I50" i="1"/>
  <c r="I65" i="1"/>
  <c r="I51" i="1"/>
  <c r="P489" i="5"/>
  <c r="R489" i="5" s="1"/>
  <c r="R544" i="5"/>
  <c r="Q544" i="5"/>
  <c r="M447" i="5"/>
  <c r="N447" i="5" s="1"/>
  <c r="L447" i="5"/>
  <c r="M559" i="5"/>
  <c r="N559" i="5" s="1"/>
  <c r="L559" i="5"/>
  <c r="P406" i="5"/>
  <c r="P517" i="5"/>
  <c r="O602" i="5" l="1"/>
  <c r="P602" i="5" s="1"/>
  <c r="M615" i="5"/>
  <c r="N615" i="5" s="1"/>
  <c r="L615" i="5"/>
  <c r="O392" i="5"/>
  <c r="P392" i="5" s="1"/>
  <c r="R392" i="5" s="1"/>
  <c r="M476" i="5"/>
  <c r="N476" i="5" s="1"/>
  <c r="L476" i="5"/>
  <c r="S544" i="5"/>
  <c r="G545" i="5" s="1"/>
  <c r="H545" i="5" s="1"/>
  <c r="K545" i="5" s="1"/>
  <c r="S419" i="5"/>
  <c r="G420" i="5" s="1"/>
  <c r="H420" i="5" s="1"/>
  <c r="K420" i="5" s="1"/>
  <c r="S461" i="5"/>
  <c r="Q489" i="5"/>
  <c r="O447" i="5"/>
  <c r="P447" i="5" s="1"/>
  <c r="Q406" i="5"/>
  <c r="R406" i="5"/>
  <c r="O559" i="5"/>
  <c r="M573" i="5"/>
  <c r="N573" i="5" s="1"/>
  <c r="L573" i="5"/>
  <c r="R587" i="5"/>
  <c r="Q587" i="5"/>
  <c r="S587" i="5" s="1"/>
  <c r="R517" i="5"/>
  <c r="Q517" i="5"/>
  <c r="S517" i="5" s="1"/>
  <c r="Q602" i="5" l="1"/>
  <c r="S602" i="5" s="1"/>
  <c r="I75" i="1" s="1"/>
  <c r="R602" i="5"/>
  <c r="Q392" i="5"/>
  <c r="S392" i="5" s="1"/>
  <c r="I57" i="1" s="1"/>
  <c r="O615" i="5"/>
  <c r="P615" i="5" s="1"/>
  <c r="O476" i="5"/>
  <c r="P476" i="5" s="1"/>
  <c r="M545" i="5"/>
  <c r="N545" i="5" s="1"/>
  <c r="L545" i="5"/>
  <c r="G462" i="5"/>
  <c r="H462" i="5" s="1"/>
  <c r="K462" i="5" s="1"/>
  <c r="S406" i="5"/>
  <c r="I52" i="1" s="1"/>
  <c r="M420" i="5"/>
  <c r="N420" i="5" s="1"/>
  <c r="L420" i="5"/>
  <c r="S489" i="5"/>
  <c r="G490" i="5" s="1"/>
  <c r="H490" i="5" s="1"/>
  <c r="K490" i="5" s="1"/>
  <c r="G588" i="5"/>
  <c r="H588" i="5" s="1"/>
  <c r="K588" i="5" s="1"/>
  <c r="G518" i="5"/>
  <c r="H518" i="5" s="1"/>
  <c r="K518" i="5" s="1"/>
  <c r="P559" i="5"/>
  <c r="R447" i="5"/>
  <c r="Q447" i="5"/>
  <c r="S447" i="5" s="1"/>
  <c r="O573" i="5"/>
  <c r="O420" i="5" l="1"/>
  <c r="P420" i="5" s="1"/>
  <c r="O545" i="5"/>
  <c r="P545" i="5" s="1"/>
  <c r="Q615" i="5"/>
  <c r="S615" i="5" s="1"/>
  <c r="G616" i="5" s="1"/>
  <c r="H616" i="5" s="1"/>
  <c r="K616" i="5" s="1"/>
  <c r="R615" i="5"/>
  <c r="Q420" i="5"/>
  <c r="S420" i="5" s="1"/>
  <c r="I49" i="1" s="1"/>
  <c r="M462" i="5"/>
  <c r="N462" i="5" s="1"/>
  <c r="L462" i="5"/>
  <c r="L490" i="5"/>
  <c r="M490" i="5"/>
  <c r="N490" i="5" s="1"/>
  <c r="M588" i="5"/>
  <c r="N588" i="5" s="1"/>
  <c r="L588" i="5"/>
  <c r="M518" i="5"/>
  <c r="N518" i="5" s="1"/>
  <c r="L518" i="5"/>
  <c r="R559" i="5"/>
  <c r="Q559" i="5"/>
  <c r="G448" i="5"/>
  <c r="P573" i="5"/>
  <c r="R476" i="5"/>
  <c r="Q476" i="5"/>
  <c r="R420" i="5" l="1"/>
  <c r="S476" i="5"/>
  <c r="I34" i="1" s="1"/>
  <c r="O462" i="5"/>
  <c r="S559" i="5"/>
  <c r="G560" i="5" s="1"/>
  <c r="H560" i="5" s="1"/>
  <c r="K560" i="5" s="1"/>
  <c r="O490" i="5"/>
  <c r="P490" i="5" s="1"/>
  <c r="Q490" i="5" s="1"/>
  <c r="H448" i="5"/>
  <c r="K448" i="5" s="1"/>
  <c r="O518" i="5"/>
  <c r="P518" i="5" s="1"/>
  <c r="O588" i="5"/>
  <c r="P588" i="5" s="1"/>
  <c r="M616" i="5"/>
  <c r="N616" i="5" s="1"/>
  <c r="L616" i="5"/>
  <c r="R573" i="5"/>
  <c r="Q573" i="5"/>
  <c r="S573" i="5" s="1"/>
  <c r="R545" i="5"/>
  <c r="Q545" i="5"/>
  <c r="S545" i="5" s="1"/>
  <c r="L448" i="5" l="1"/>
  <c r="R490" i="5"/>
  <c r="M560" i="5"/>
  <c r="N560" i="5" s="1"/>
  <c r="L560" i="5"/>
  <c r="P462" i="5"/>
  <c r="Q462" i="5" s="1"/>
  <c r="S462" i="5" s="1"/>
  <c r="I59" i="1" s="1"/>
  <c r="S490" i="5"/>
  <c r="I70" i="1" s="1"/>
  <c r="M448" i="5"/>
  <c r="N448" i="5" s="1"/>
  <c r="O616" i="5"/>
  <c r="G574" i="5"/>
  <c r="H574" i="5" s="1"/>
  <c r="K574" i="5" s="1"/>
  <c r="G546" i="5"/>
  <c r="R588" i="5"/>
  <c r="Q588" i="5"/>
  <c r="R518" i="5"/>
  <c r="Q518" i="5"/>
  <c r="L574" i="5" l="1"/>
  <c r="O448" i="5"/>
  <c r="P448" i="5" s="1"/>
  <c r="R462" i="5"/>
  <c r="O560" i="5"/>
  <c r="P560" i="5" s="1"/>
  <c r="S518" i="5"/>
  <c r="I68" i="1" s="1"/>
  <c r="S588" i="5"/>
  <c r="I76" i="1" s="1"/>
  <c r="H546" i="5"/>
  <c r="I42" i="1"/>
  <c r="I40" i="1"/>
  <c r="I43" i="1"/>
  <c r="I41" i="1"/>
  <c r="I44" i="1"/>
  <c r="M574" i="5"/>
  <c r="N574" i="5" s="1"/>
  <c r="Q448" i="5"/>
  <c r="R448" i="5"/>
  <c r="R560" i="5"/>
  <c r="P616" i="5"/>
  <c r="Q616" i="5" s="1"/>
  <c r="S616" i="5" s="1"/>
  <c r="M546" i="5"/>
  <c r="N546" i="5" s="1"/>
  <c r="Q560" i="5" l="1"/>
  <c r="S560" i="5" s="1"/>
  <c r="I71" i="1" s="1"/>
  <c r="K546" i="5"/>
  <c r="L546" i="5" s="1"/>
  <c r="O546" i="5" s="1"/>
  <c r="P546" i="5" s="1"/>
  <c r="O574" i="5"/>
  <c r="S448" i="5"/>
  <c r="I48" i="1" s="1"/>
  <c r="I74" i="1"/>
  <c r="I39" i="1"/>
  <c r="R616" i="5"/>
  <c r="P574" i="5"/>
  <c r="R574" i="5" l="1"/>
  <c r="Q574" i="5"/>
  <c r="R546" i="5"/>
  <c r="Q546" i="5"/>
  <c r="I66" i="1" l="1"/>
  <c r="S546" i="5"/>
  <c r="S574" i="5"/>
  <c r="I77" i="1" s="1"/>
  <c r="O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1" authorId="0" shapeId="0" xr:uid="{00000000-0006-0000-0400-000001000000}">
      <text>
        <r>
          <rPr>
            <sz val="10"/>
            <rFont val="Arial"/>
            <family val="2"/>
          </rPr>
          <t xml:space="preserve">DELL:
DO not Delete
</t>
        </r>
      </text>
    </comment>
    <comment ref="H1" authorId="0" shapeId="0" xr:uid="{00000000-0006-0000-0400-000002000000}">
      <text>
        <r>
          <rPr>
            <sz val="10"/>
            <rFont val="Arial"/>
            <family val="2"/>
          </rPr>
          <t xml:space="preserve">DELL:
Do not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1" authorId="0" shapeId="0" xr:uid="{00000000-0006-0000-0500-000001000000}">
      <text>
        <r>
          <rPr>
            <sz val="10"/>
            <rFont val="Arial"/>
            <family val="2"/>
          </rPr>
          <t xml:space="preserve">DELL:
DO not Delete
</t>
        </r>
      </text>
    </comment>
    <comment ref="H1" authorId="0" shapeId="0" xr:uid="{00000000-0006-0000-0500-000002000000}">
      <text>
        <r>
          <rPr>
            <sz val="10"/>
            <rFont val="Arial"/>
            <family val="2"/>
          </rPr>
          <t xml:space="preserve">DELL:
Do not Delete
</t>
        </r>
      </text>
    </comment>
  </commentList>
</comments>
</file>

<file path=xl/sharedStrings.xml><?xml version="1.0" encoding="utf-8"?>
<sst xmlns="http://schemas.openxmlformats.org/spreadsheetml/2006/main" count="1322" uniqueCount="208">
  <si>
    <t>Consolidated P&amp;L Dashboard  ·  Partners: MS &amp; SG  ·  Investor Presentation</t>
  </si>
  <si>
    <t>Source: P&amp;L Report 1 (SG Design – Sold Items)  +  P&amp;L Report 2 (MS Design – Stock Holding Cost)</t>
  </si>
  <si>
    <t>EXECUTIVE SUMMARY — KEY PERFORMANCE INDICATORS</t>
  </si>
  <si>
    <t>TOTAL PIECES</t>
  </si>
  <si>
    <t>SOLD PIECES</t>
  </si>
  <si>
    <t>IN STOCK</t>
  </si>
  <si>
    <t>P&amp;L 2 HOLDING PROFIT (₹)</t>
  </si>
  <si>
    <t>MS TOTAL SHARE (₹)</t>
  </si>
  <si>
    <t>SG TOTAL SHARE (₹)</t>
  </si>
  <si>
    <t>TOTAL OP. COST 15% (₹)</t>
  </si>
  <si>
    <t>P&amp;L REPORT 1 — SG DESIGN (SOLD ITEMS)  ·  22K GOLD MANUFACTURING</t>
  </si>
  <si>
    <t>TAG NO</t>
  </si>
  <si>
    <t>SALE DATE</t>
  </si>
  <si>
    <t>WT (g)</t>
  </si>
  <si>
    <t>GOLD RATE
22K (₹)</t>
  </si>
  <si>
    <t>LABOUR
COST (₹)</t>
  </si>
  <si>
    <t>LABOUR SELL
PRICE (₹)</t>
  </si>
  <si>
    <t>SHARABLE
PROFIT (₹)</t>
  </si>
  <si>
    <t>OP COST
15% (₹)</t>
  </si>
  <si>
    <t>MS SHARE (₹)</t>
  </si>
  <si>
    <t>SG SHARE (₹)</t>
  </si>
  <si>
    <t>GRAND TOTAL</t>
  </si>
  <si>
    <t>P&amp;L REPORT 2 — MS DESIGN (STOCK HOLDING COST ACCRUAL)  ·  ITEM-WISE SUMMARY</t>
  </si>
  <si>
    <t>STATUS</t>
  </si>
  <si>
    <t>SOLD DATE</t>
  </si>
  <si>
    <t>KT</t>
  </si>
  <si>
    <t>TOTAL OP
COST (₹)</t>
  </si>
  <si>
    <t>MS SHARE
(₹)</t>
  </si>
  <si>
    <t>SG SHARE
(₹)</t>
  </si>
  <si>
    <t>MS PROFIT
IN GOLD (g)</t>
  </si>
  <si>
    <t>NOTES</t>
  </si>
  <si>
    <t>BALI100437</t>
  </si>
  <si>
    <t>Stock</t>
  </si>
  <si>
    <t>Holding cost accruing</t>
  </si>
  <si>
    <t>BAN1842</t>
  </si>
  <si>
    <t>BAN1843</t>
  </si>
  <si>
    <t>BAN1845</t>
  </si>
  <si>
    <t>BAN1846</t>
  </si>
  <si>
    <t>BAN1847</t>
  </si>
  <si>
    <t>Sold</t>
  </si>
  <si>
    <t>Profit settled</t>
  </si>
  <si>
    <t>BAN1925</t>
  </si>
  <si>
    <t>BAN1938</t>
  </si>
  <si>
    <t>BAN1939</t>
  </si>
  <si>
    <t>BAN2015</t>
  </si>
  <si>
    <t>BAN2016</t>
  </si>
  <si>
    <t>BAN2017</t>
  </si>
  <si>
    <t>BAN2018</t>
  </si>
  <si>
    <t>BAN2019</t>
  </si>
  <si>
    <t>BAN2022</t>
  </si>
  <si>
    <t>BAN2023</t>
  </si>
  <si>
    <t>BAN2024</t>
  </si>
  <si>
    <t>BAN2025</t>
  </si>
  <si>
    <t>BRAC99558</t>
  </si>
  <si>
    <t>BRAC99559</t>
  </si>
  <si>
    <t>BRAC99560</t>
  </si>
  <si>
    <t>BRAC99561</t>
  </si>
  <si>
    <t>BRAC99562</t>
  </si>
  <si>
    <t>BRAC99563</t>
  </si>
  <si>
    <t>BRAC99564</t>
  </si>
  <si>
    <t>BRAC99565</t>
  </si>
  <si>
    <t>MBAN1</t>
  </si>
  <si>
    <t>PDL92915</t>
  </si>
  <si>
    <t>PDL92916</t>
  </si>
  <si>
    <t>PDL92917</t>
  </si>
  <si>
    <t>PDL92918</t>
  </si>
  <si>
    <t>PDL92919</t>
  </si>
  <si>
    <t>PDL92920</t>
  </si>
  <si>
    <t>RIN103096</t>
  </si>
  <si>
    <t>RIN103097</t>
  </si>
  <si>
    <t>RIN103354</t>
  </si>
  <si>
    <t>RIN103355</t>
  </si>
  <si>
    <t>RIN103356</t>
  </si>
  <si>
    <t>RIN103357</t>
  </si>
  <si>
    <t>CONSOLIDATED P&amp;L SUMMARY — BOTH REPORTS COMBINED</t>
  </si>
  <si>
    <t>REPORT</t>
  </si>
  <si>
    <t>LABOUR SELL PRICE (₹)</t>
  </si>
  <si>
    <t>SHARABLE PROFIT (₹)</t>
  </si>
  <si>
    <t>OPERATING COST 15% (₹)</t>
  </si>
  <si>
    <t>MS GOLD (g)</t>
  </si>
  <si>
    <t>P&amp;L Report 1 (SG Design – Sold)</t>
  </si>
  <si>
    <t>22K Gold</t>
  </si>
  <si>
    <t>N/A</t>
  </si>
  <si>
    <t>P&amp;L Report 2 (MS Design – Holding)</t>
  </si>
  <si>
    <t>22K+24K Gold</t>
  </si>
  <si>
    <t>~2.337</t>
  </si>
  <si>
    <t>COMBINED TOTAL</t>
  </si>
  <si>
    <t>BATCH-WISE STOCK INTRODUCTION SUMMARY</t>
  </si>
  <si>
    <t>BATCH</t>
  </si>
  <si>
    <t>DATE</t>
  </si>
  <si>
    <t>ITEMS</t>
  </si>
  <si>
    <t>TOTAL WT (g)</t>
  </si>
  <si>
    <t>SOLD ITEMS</t>
  </si>
  <si>
    <t>SOLD WT (g)</t>
  </si>
  <si>
    <t>Batch 1</t>
  </si>
  <si>
    <t>10-Apr-2025</t>
  </si>
  <si>
    <t>Batch 2</t>
  </si>
  <si>
    <t>30-Jul-2025</t>
  </si>
  <si>
    <t>Batch 3</t>
  </si>
  <si>
    <t>24-Oct-2025</t>
  </si>
  <si>
    <t>TOTAL</t>
  </si>
  <si>
    <t>3 Batches</t>
  </si>
  <si>
    <t>PARTNER PROFIT SPLIT — MS vs SG</t>
  </si>
  <si>
    <t>PARTNER</t>
  </si>
  <si>
    <t>P&amp;L 1 SHARE (₹)</t>
  </si>
  <si>
    <t>P&amp;L 2 SHARE (₹)</t>
  </si>
  <si>
    <t>COMBINED SHARE (₹)</t>
  </si>
  <si>
    <t>SHARE %</t>
  </si>
  <si>
    <t>GOLD (g)</t>
  </si>
  <si>
    <t>MS (Partner 1)</t>
  </si>
  <si>
    <t>~2.337g</t>
  </si>
  <si>
    <t>SG (Partner 2)</t>
  </si>
  <si>
    <t>Operating Cost</t>
  </si>
  <si>
    <t>NOTE: P&amp;L Report 1 = SG Design jewellery sold by MS. P&amp;L Report 2 = MS Design stock held at SG — monthly holding cost accrues till sale date. Operating cost = 15% of sharable labour profit. All figures in Indian Rupees (₹). Gold weight in grams.</t>
  </si>
  <si>
    <t xml:space="preserve">Sum of Operating Cost </t>
  </si>
  <si>
    <t>Sum of MS Share</t>
  </si>
  <si>
    <t>Sum of SG Share</t>
  </si>
  <si>
    <t>BAN1867(MBAN4/MBAN8)</t>
  </si>
  <si>
    <t>BAN1868(MBAN6/MBAN7/MBAN12)</t>
  </si>
  <si>
    <t>BRAC99440(MBRAC1)</t>
  </si>
  <si>
    <t>COIN 50GM 4 PCS</t>
  </si>
  <si>
    <t>MIX BANGLES 97.110 @ 90%</t>
  </si>
  <si>
    <t>Date</t>
  </si>
  <si>
    <t>Batch</t>
  </si>
  <si>
    <t>Tag no.</t>
  </si>
  <si>
    <t>Kt</t>
  </si>
  <si>
    <t>Wastage</t>
  </si>
  <si>
    <t>Fine</t>
  </si>
  <si>
    <t>Stock out</t>
  </si>
  <si>
    <t xml:space="preserve">Date of Sales </t>
  </si>
  <si>
    <t>Customer Name</t>
  </si>
  <si>
    <t>Labour</t>
  </si>
  <si>
    <t xml:space="preserve">Status </t>
  </si>
  <si>
    <t>10.4.2025</t>
  </si>
  <si>
    <t>TASNEEM AUNTY</t>
  </si>
  <si>
    <t>IBRAHIM FAKHRI</t>
  </si>
  <si>
    <t>SAKINA JHABUA</t>
  </si>
  <si>
    <t>ARWA RAMPURAWALA</t>
  </si>
  <si>
    <t>30.7.2025</t>
  </si>
  <si>
    <t>BATUL PITHEWAN</t>
  </si>
  <si>
    <t>KHUZEMA PITHEWAN</t>
  </si>
  <si>
    <t>UMMEHANI PITHEWAN</t>
  </si>
  <si>
    <t>FARIDA RAJ</t>
  </si>
  <si>
    <t>ABDUL QADIR</t>
  </si>
  <si>
    <t>24.10.2025</t>
  </si>
  <si>
    <t>BURHANUDDIN UJJAINWALA</t>
  </si>
  <si>
    <t>KULSUM BABUKHAN</t>
  </si>
  <si>
    <t>FATEMA TIKIWALA</t>
  </si>
  <si>
    <t>UMMEHANI SALIM</t>
  </si>
  <si>
    <t>MARIYA KANCHWALA</t>
  </si>
  <si>
    <t>ABDULLAH SIEKH</t>
  </si>
  <si>
    <t>NAFISA STOVE WALA</t>
  </si>
  <si>
    <t>RABAB BADSHAHWALA</t>
  </si>
  <si>
    <t>TASNEEM PITHAWALA</t>
  </si>
  <si>
    <t xml:space="preserve">TAG NO </t>
  </si>
  <si>
    <t>Actual Sales Date</t>
  </si>
  <si>
    <t>New SG Design Introduced</t>
  </si>
  <si>
    <t>Gold Rate 
22K</t>
  </si>
  <si>
    <t>Purity</t>
  </si>
  <si>
    <t>Labour cost Price</t>
  </si>
  <si>
    <t>Labour Cost Charged</t>
  </si>
  <si>
    <t>Labour Sell Price</t>
  </si>
  <si>
    <t>Labour Profit Charged</t>
  </si>
  <si>
    <t>Labour Sharable Profit</t>
  </si>
  <si>
    <t>Operating Cost 
15%</t>
  </si>
  <si>
    <t>MS Share</t>
  </si>
  <si>
    <t>SG Share</t>
  </si>
  <si>
    <t>MBAN32</t>
  </si>
  <si>
    <t>MBAN37</t>
  </si>
  <si>
    <t>MBAN38</t>
  </si>
  <si>
    <t>MBRAC7</t>
  </si>
  <si>
    <t>MBAN41</t>
  </si>
  <si>
    <t>MRING2</t>
  </si>
  <si>
    <t>MRING3</t>
  </si>
  <si>
    <t>MBRAC12</t>
  </si>
  <si>
    <t>MBRAC14</t>
  </si>
  <si>
    <t>MBRAC11</t>
  </si>
  <si>
    <t>MPENDAL5</t>
  </si>
  <si>
    <t>MPENDAL7</t>
  </si>
  <si>
    <t>MRING4</t>
  </si>
  <si>
    <t>MRING5</t>
  </si>
  <si>
    <t>MRING7</t>
  </si>
  <si>
    <t>MRING8</t>
  </si>
  <si>
    <t xml:space="preserve">TOTAL </t>
  </si>
  <si>
    <t>Sr. No</t>
  </si>
  <si>
    <t>MS design Sold</t>
  </si>
  <si>
    <t>New Stk Introduce on</t>
  </si>
  <si>
    <t>Sales PM</t>
  </si>
  <si>
    <t>Gold Rate 
24K</t>
  </si>
  <si>
    <t>MS Profit in Gold</t>
  </si>
  <si>
    <t>Summary of P&amp;L Report 2</t>
  </si>
  <si>
    <t xml:space="preserve">MIYAA SAAB — GOLD JEWELLERY </t>
  </si>
  <si>
    <t>TOTAL GOLD WEIGHT (g) [Fine]</t>
  </si>
  <si>
    <t>P&amp;L 1 HOLDING PROFIT (₹)</t>
  </si>
  <si>
    <t>P&amp;L 3 HOLDING PROFIT (₹)</t>
  </si>
  <si>
    <t>Check</t>
  </si>
  <si>
    <t>DO NOT Delete</t>
  </si>
  <si>
    <t>GOLD SELL  Price</t>
  </si>
  <si>
    <t>N.WT</t>
  </si>
  <si>
    <t>Gross Wt</t>
  </si>
  <si>
    <t>Report 1</t>
  </si>
  <si>
    <t>Report 2</t>
  </si>
  <si>
    <t>Report 3</t>
  </si>
  <si>
    <t>Total</t>
  </si>
  <si>
    <t>Values</t>
  </si>
  <si>
    <t>Row Labels</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</si>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</sst>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quot; g&quot;"/>
    <numFmt numFmtId="165" formatCode="\₹#,##0"/>
    <numFmt numFmtId="166" formatCode="0.000"/>
    <numFmt numFmtId="167" formatCode="0.0%"/>
    <numFmt numFmtId="168" formatCode="_(* #,##0.00_);_(* \(#,##0.00\);_(* \-??_);_(@_)"/>
    <numFmt numFmtId="169" formatCode="_(\₹_*\ #,##0.00_);_(\₹_*\ \(#,##0.00\);_(* &quot;-&quot;_);_(@_)"/>
    <numFmt numFmtId="170" formatCode="dd/mmm/yyyy"/>
    <numFmt numFmtId="172" formatCode="_(* #,##0.000_);_(* \(#,##0.000\);_(* \-??_);_(@_)"/>
  </numFmts>
  <fonts count="39" x14ac:knownFonts="1">
    <font>
      <sz val="11"/>
      <color theme="1"/>
      <name val="Calibri"/>
      <family val="2"/>
      <charset val="1"/>
    </font>
    <font>
      <b/>
      <sz val="11"/>
      <color theme="1"/>
      <name val="Calibri"/>
      <family val="2"/>
      <charset val="1"/>
    </font>
    <font>
      <b/>
      <sz val="20"/>
      <color rgb="FFD4A017"/>
      <name val="Arial"/>
      <charset val="1"/>
    </font>
    <font>
      <i/>
      <sz val="10"/>
      <color rgb="FFFFFFFF"/>
      <name val="Arial"/>
      <charset val="1"/>
    </font>
    <font>
      <sz val="9"/>
      <color rgb="FF7A4A00"/>
      <name val="Arial"/>
      <charset val="1"/>
    </font>
    <font>
      <b/>
      <sz val="10"/>
      <color rgb="FFD4A017"/>
      <name val="Arial"/>
      <charset val="1"/>
    </font>
    <font>
      <i/>
      <sz val="8"/>
      <color rgb="FF1A3E5C"/>
      <name val="Arial"/>
      <charset val="1"/>
    </font>
    <font>
      <i/>
      <sz val="8"/>
      <color rgb="FF155724"/>
      <name val="Arial"/>
      <charset val="1"/>
    </font>
    <font>
      <i/>
      <sz val="8"/>
      <color rgb="FF7A4A00"/>
      <name val="Arial"/>
      <charset val="1"/>
    </font>
    <font>
      <i/>
      <sz val="8"/>
      <color rgb="FF3E2000"/>
      <name val="Arial"/>
      <charset val="1"/>
    </font>
    <font>
      <b/>
      <sz val="18"/>
      <color rgb="FF1A3E5C"/>
      <name val="Arial"/>
      <charset val="1"/>
    </font>
    <font>
      <b/>
      <sz val="18"/>
      <color rgb="FF155724"/>
      <name val="Arial"/>
      <charset val="1"/>
    </font>
    <font>
      <b/>
      <sz val="18"/>
      <color rgb="FF7A4A00"/>
      <name val="Arial"/>
      <charset val="1"/>
    </font>
    <font>
      <b/>
      <sz val="16"/>
      <color rgb="FF3E2000"/>
      <name val="Arial"/>
      <charset val="1"/>
    </font>
    <font>
      <i/>
      <sz val="8"/>
      <color rgb="FF7B1C1C"/>
      <name val="Arial"/>
      <charset val="1"/>
    </font>
    <font>
      <b/>
      <sz val="15"/>
      <color rgb="FF7A4A00"/>
      <name val="Arial"/>
      <charset val="1"/>
    </font>
    <font>
      <b/>
      <sz val="15"/>
      <color rgb="FF1A3E5C"/>
      <name val="Arial"/>
      <charset val="1"/>
    </font>
    <font>
      <b/>
      <sz val="15"/>
      <color rgb="FF7B1C1C"/>
      <name val="Arial"/>
      <charset val="1"/>
    </font>
    <font>
      <b/>
      <sz val="9"/>
      <color rgb="FFFFFFFF"/>
      <name val="Arial"/>
      <charset val="1"/>
    </font>
    <font>
      <sz val="9"/>
      <color rgb="FF1A1A1A"/>
      <name val="Arial"/>
      <charset val="1"/>
    </font>
    <font>
      <b/>
      <sz val="9"/>
      <color rgb="FF3E2000"/>
      <name val="Arial"/>
      <charset val="1"/>
    </font>
    <font>
      <b/>
      <sz val="9"/>
      <color rgb="FF7A4A00"/>
      <name val="Arial"/>
      <charset val="1"/>
    </font>
    <font>
      <sz val="9"/>
      <color rgb="FFC8C4B4"/>
      <name val="Arial"/>
      <charset val="1"/>
    </font>
    <font>
      <b/>
      <sz val="9"/>
      <color rgb="FF155724"/>
      <name val="Arial"/>
      <charset val="1"/>
    </font>
    <font>
      <b/>
      <sz val="9"/>
      <color rgb="FFD4A017"/>
      <name val="Arial"/>
      <charset val="1"/>
    </font>
    <font>
      <b/>
      <sz val="9"/>
      <color rgb="FF1A3E5C"/>
      <name val="Arial"/>
      <charset val="1"/>
    </font>
    <font>
      <b/>
      <sz val="9"/>
      <color rgb="FF7B1C1C"/>
      <name val="Arial"/>
      <charset val="1"/>
    </font>
    <font>
      <i/>
      <sz val="8"/>
      <color rgb="FF555555"/>
      <name val="Arial"/>
      <charset val="1"/>
    </font>
    <font>
      <sz val="10"/>
      <name val="Arial"/>
      <family val="2"/>
    </font>
    <font>
      <sz val="11"/>
      <color theme="1"/>
      <name val="Calibri"/>
      <family val="2"/>
      <charset val="1"/>
    </font>
    <font>
      <sz val="11"/>
      <color theme="1"/>
      <name val="Bookman Old Style"/>
      <family val="1"/>
    </font>
    <font>
      <sz val="14"/>
      <color theme="4" tint="-0.249977111117893"/>
      <name val="Bookman Old Style"/>
      <family val="1"/>
    </font>
    <font>
      <b/>
      <sz val="11"/>
      <color theme="1"/>
      <name val="Bookman Old Style"/>
      <family val="1"/>
    </font>
    <font>
      <b/>
      <sz val="11"/>
      <color theme="1"/>
      <name val="Calibri"/>
      <family val="2"/>
    </font>
    <font>
      <b/>
      <sz val="9"/>
      <color rgb="FFFFFFFF"/>
      <name val="Arial"/>
      <family val="2"/>
    </font>
    <font>
      <b/>
      <sz val="20"/>
      <color rgb="FFD4A017"/>
      <name val="Arial"/>
      <family val="2"/>
    </font>
    <font>
      <i/>
      <sz val="8"/>
      <color rgb="FF3E2000"/>
      <name val="Arial"/>
      <family val="2"/>
    </font>
    <font>
      <i/>
      <sz val="8"/>
      <color rgb="FF7A4A00"/>
      <name val="Arial"/>
      <family val="2"/>
    </font>
    <font>
      <sz val="11"/>
      <color theme="1"/>
      <name val="Calibri"/>
      <family val="2"/>
    </font>
  </fonts>
  <fills count="25">
    <fill>
      <patternFill patternType="none"/>
    </fill>
    <fill>
      <patternFill patternType="gray125"/>
    </fill>
    <fill>
      <patternFill patternType="solid">
        <fgColor rgb="FF3E2000"/>
        <bgColor rgb="FF1A1A1A"/>
      </patternFill>
    </fill>
    <fill>
      <patternFill patternType="solid">
        <fgColor rgb="FFD4A017"/>
        <bgColor rgb="FFD4850A"/>
      </patternFill>
    </fill>
    <fill>
      <patternFill patternType="solid">
        <fgColor rgb="FFFFF3CD"/>
        <bgColor rgb="FFFFF0D0"/>
      </patternFill>
    </fill>
    <fill>
      <patternFill patternType="solid">
        <fgColor rgb="FFF2F0E8"/>
        <bgColor rgb="FFFAFAF7"/>
      </patternFill>
    </fill>
    <fill>
      <patternFill patternType="solid">
        <fgColor rgb="FFD4EDDA"/>
        <bgColor rgb="FFDDEEFF"/>
      </patternFill>
    </fill>
    <fill>
      <patternFill patternType="solid">
        <fgColor rgb="FFFFFFFF"/>
        <bgColor rgb="FFFAFAF7"/>
      </patternFill>
    </fill>
    <fill>
      <patternFill patternType="solid">
        <fgColor rgb="FFDDEEFF"/>
        <bgColor rgb="FFD4EDDA"/>
      </patternFill>
    </fill>
    <fill>
      <patternFill patternType="solid">
        <fgColor rgb="FFFFF0D0"/>
        <bgColor rgb="FFFFF3CD"/>
      </patternFill>
    </fill>
    <fill>
      <patternFill patternType="solid">
        <fgColor rgb="FFF8D7DA"/>
        <bgColor rgb="FFFFC7CE"/>
      </patternFill>
    </fill>
    <fill>
      <patternFill patternType="solid">
        <fgColor rgb="FFB8860B"/>
        <bgColor rgb="FFD4850A"/>
      </patternFill>
    </fill>
    <fill>
      <patternFill patternType="solid">
        <fgColor rgb="FFFAFAF7"/>
        <bgColor rgb="FFFFFFFF"/>
      </patternFill>
    </fill>
    <fill>
      <patternFill patternType="solid">
        <fgColor rgb="FF1A3E5C"/>
        <bgColor rgb="FF333399"/>
      </patternFill>
    </fill>
    <fill>
      <patternFill patternType="solid">
        <fgColor rgb="FFD4850A"/>
        <bgColor rgb="FFB8860B"/>
      </patternFill>
    </fill>
    <fill>
      <patternFill patternType="solid">
        <fgColor theme="7" tint="0.39988402966399123"/>
        <bgColor rgb="FFFFE699"/>
      </patternFill>
    </fill>
    <fill>
      <patternFill patternType="solid">
        <fgColor rgb="FFFFFF00"/>
        <bgColor rgb="FFFFD966"/>
      </patternFill>
    </fill>
    <fill>
      <patternFill patternType="solid">
        <fgColor rgb="FF92D050"/>
        <bgColor rgb="FFC5E0B4"/>
      </patternFill>
    </fill>
    <fill>
      <patternFill patternType="solid">
        <fgColor theme="7" tint="0.59987182226020086"/>
        <bgColor rgb="FFFFD966"/>
      </patternFill>
    </fill>
    <fill>
      <patternFill patternType="solid">
        <fgColor theme="6" tint="0.59987182226020086"/>
        <bgColor rgb="FFD4EDDA"/>
      </patternFill>
    </fill>
    <fill>
      <patternFill patternType="solid">
        <fgColor theme="9" tint="0.59987182226020086"/>
        <bgColor rgb="FFD4EDDA"/>
      </patternFill>
    </fill>
    <fill>
      <patternFill patternType="solid">
        <fgColor theme="8" tint="0.39988402966399123"/>
        <bgColor rgb="FFC8C4B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7" tint="0.79998168889431442"/>
        <bgColor indexed="64"/>
      </patternFill>
    </fill>
  </fills>
  <borders count="4">
    <border>
      <left/>
      <right/>
      <top/>
      <bottom/>
      <diagonal/>
    </border>
    <border>
      <left style="thin">
        <color rgb="FFC8C4B4"/>
      </left>
      <right style="thin">
        <color rgb="FFC8C4B4"/>
      </right>
      <top style="thin">
        <color rgb="FFC8C4B4"/>
      </top>
      <bottom style="thin">
        <color rgb="FFC8C4B4"/>
      </bottom>
      <diagonal/>
    </border>
    <border>
      <left style="thin">
        <color rgb="FFC8C4B4"/>
      </left>
      <right/>
      <top style="thin">
        <color rgb="FFC8C4B4"/>
      </top>
      <bottom style="thin">
        <color rgb="FFC8C4B4"/>
      </bottom>
      <diagonal/>
    </border>
    <border>
      <left style="thin">
        <color auto="1"/>
      </left>
      <right style="thin">
        <color auto="1"/>
      </right>
      <top style="thin">
        <color auto="1"/>
      </top>
      <bottom style="thin">
        <color auto="1"/>
      </bottom>
      <diagonal/>
    </border>
  </borders>
  <cellStyleXfs count="8">
    <xf numFmtId="0" fontId="0" fillId="0" borderId="0"/>
    <xf numFmtId="168" fontId="29" fillId="0" borderId="0"/>
    <xf numFmtId="0" fontId="29" fillId="0" borderId="0" applyBorder="0" applyProtection="0"/>
    <xf numFmtId="0" fontId="29" fillId="0" borderId="0" applyBorder="0" applyProtection="0"/>
    <xf numFmtId="0" fontId="29" fillId="0" borderId="0" applyBorder="0" applyProtection="0"/>
    <xf numFmtId="0" fontId="29" fillId="0" borderId="0" applyBorder="0" applyProtection="0">
      <alignment horizontal="left"/>
    </xf>
    <xf numFmtId="0" fontId="1" fillId="0" borderId="0" applyBorder="0" applyProtection="0">
      <alignment horizontal="left"/>
    </xf>
    <xf numFmtId="0" fontId="1" fillId="0" borderId="0" applyBorder="0" applyProtection="0"/>
  </cellStyleXfs>
  <cellXfs count="143">
    <xf numFmtId="0" fontId="0" fillId="0" borderId="0" xfId="0"/>
    <xf numFmtId="0" fontId="5" fillId="2" borderId="1" xfId="0" applyFont="1" applyFill="1" applyBorder="1" applyAlignment="1">
      <alignment horizontal="center" vertical="center" wrapText="1"/>
    </xf>
    <xf numFmtId="0" fontId="18" fillId="11" borderId="1" xfId="0" applyFont="1" applyFill="1" applyBorder="1" applyAlignment="1">
      <alignment horizontal="center" vertical="center" wrapText="1"/>
    </xf>
    <xf numFmtId="0" fontId="19" fillId="12" borderId="1" xfId="0" applyFont="1" applyFill="1" applyBorder="1" applyAlignment="1">
      <alignment horizontal="left" vertical="center" wrapText="1"/>
    </xf>
    <xf numFmtId="166" fontId="19" fillId="12" borderId="1" xfId="0" applyNumberFormat="1" applyFont="1" applyFill="1" applyBorder="1" applyAlignment="1">
      <alignment horizontal="right" vertical="center"/>
    </xf>
    <xf numFmtId="3" fontId="19" fillId="12" borderId="1" xfId="0" applyNumberFormat="1" applyFont="1" applyFill="1" applyBorder="1" applyAlignment="1">
      <alignment horizontal="right" vertical="center"/>
    </xf>
    <xf numFmtId="0" fontId="19" fillId="7" borderId="1" xfId="0" applyFont="1" applyFill="1" applyBorder="1" applyAlignment="1">
      <alignment horizontal="left" vertical="center" wrapText="1"/>
    </xf>
    <xf numFmtId="166" fontId="19" fillId="7" borderId="1" xfId="0" applyNumberFormat="1" applyFont="1" applyFill="1" applyBorder="1" applyAlignment="1">
      <alignment horizontal="right" vertical="center"/>
    </xf>
    <xf numFmtId="3" fontId="19" fillId="7" borderId="1" xfId="0" applyNumberFormat="1" applyFont="1" applyFill="1" applyBorder="1" applyAlignment="1">
      <alignment horizontal="right" vertical="center"/>
    </xf>
    <xf numFmtId="0" fontId="18" fillId="3" borderId="1" xfId="0" applyFont="1" applyFill="1" applyBorder="1" applyAlignment="1">
      <alignment horizontal="center" vertical="center" wrapText="1"/>
    </xf>
    <xf numFmtId="166" fontId="18" fillId="3" borderId="1" xfId="0" applyNumberFormat="1" applyFont="1" applyFill="1" applyBorder="1" applyAlignment="1">
      <alignment horizontal="right" vertical="center"/>
    </xf>
    <xf numFmtId="3" fontId="18" fillId="3" borderId="1" xfId="0" applyNumberFormat="1" applyFont="1" applyFill="1" applyBorder="1" applyAlignment="1">
      <alignment horizontal="right" vertical="center"/>
    </xf>
    <xf numFmtId="0" fontId="18" fillId="13" borderId="1" xfId="0" applyFont="1" applyFill="1" applyBorder="1" applyAlignment="1">
      <alignment horizontal="center" vertical="center" wrapText="1"/>
    </xf>
    <xf numFmtId="0" fontId="20" fillId="4" borderId="1" xfId="0" applyFont="1" applyFill="1" applyBorder="1" applyAlignment="1">
      <alignment horizontal="left" vertical="center" wrapText="1"/>
    </xf>
    <xf numFmtId="0" fontId="21" fillId="10" borderId="1" xfId="0" applyFont="1" applyFill="1" applyBorder="1" applyAlignment="1">
      <alignment horizontal="center" vertical="center" wrapText="1"/>
    </xf>
    <xf numFmtId="0" fontId="0" fillId="4" borderId="1" xfId="0" applyFill="1" applyBorder="1"/>
    <xf numFmtId="0" fontId="19" fillId="4" borderId="1" xfId="0" applyFont="1" applyFill="1" applyBorder="1" applyAlignment="1">
      <alignment horizontal="center" vertical="center" wrapText="1"/>
    </xf>
    <xf numFmtId="0" fontId="19" fillId="4" borderId="1" xfId="0" applyFont="1" applyFill="1" applyBorder="1" applyAlignment="1">
      <alignment horizontal="right" vertical="center"/>
    </xf>
    <xf numFmtId="0" fontId="22" fillId="4" borderId="1" xfId="0" applyFont="1" applyFill="1" applyBorder="1" applyAlignment="1">
      <alignment horizontal="right" vertical="center"/>
    </xf>
    <xf numFmtId="0" fontId="8" fillId="4" borderId="1" xfId="0" applyFont="1" applyFill="1" applyBorder="1" applyAlignment="1">
      <alignment horizontal="left" vertical="center" wrapText="1"/>
    </xf>
    <xf numFmtId="0" fontId="20" fillId="6" borderId="1" xfId="0" applyFont="1" applyFill="1" applyBorder="1" applyAlignment="1">
      <alignment horizontal="left" vertical="center" wrapText="1"/>
    </xf>
    <xf numFmtId="0" fontId="23" fillId="6" borderId="1" xfId="0" applyFont="1" applyFill="1" applyBorder="1" applyAlignment="1">
      <alignment horizontal="center" vertical="center" wrapText="1"/>
    </xf>
    <xf numFmtId="0" fontId="0" fillId="6" borderId="1" xfId="0" applyFill="1" applyBorder="1"/>
    <xf numFmtId="0" fontId="19" fillId="6" borderId="1" xfId="0" applyFont="1" applyFill="1" applyBorder="1" applyAlignment="1">
      <alignment horizontal="center" vertical="center" wrapText="1"/>
    </xf>
    <xf numFmtId="166" fontId="4" fillId="6" borderId="1" xfId="0" applyNumberFormat="1" applyFont="1" applyFill="1" applyBorder="1" applyAlignment="1">
      <alignment horizontal="right" vertical="center"/>
    </xf>
    <xf numFmtId="0" fontId="7" fillId="6"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3" fontId="19" fillId="4" borderId="1" xfId="0" applyNumberFormat="1" applyFont="1" applyFill="1" applyBorder="1" applyAlignment="1">
      <alignment horizontal="right" vertical="center"/>
    </xf>
    <xf numFmtId="3" fontId="5" fillId="2" borderId="1" xfId="0" applyNumberFormat="1" applyFont="1" applyFill="1" applyBorder="1" applyAlignment="1">
      <alignment horizontal="right" vertical="center"/>
    </xf>
    <xf numFmtId="0" fontId="18" fillId="14" borderId="1" xfId="0" applyFont="1" applyFill="1" applyBorder="1" applyAlignment="1">
      <alignment horizontal="center" vertical="center" wrapText="1"/>
    </xf>
    <xf numFmtId="166" fontId="19" fillId="4" borderId="1" xfId="0" applyNumberFormat="1" applyFont="1" applyFill="1" applyBorder="1" applyAlignment="1">
      <alignment horizontal="right" vertical="center"/>
    </xf>
    <xf numFmtId="1" fontId="19" fillId="4" borderId="1" xfId="0" applyNumberFormat="1" applyFont="1" applyFill="1" applyBorder="1" applyAlignment="1">
      <alignment horizontal="right" vertical="center"/>
    </xf>
    <xf numFmtId="0" fontId="19" fillId="12" borderId="1" xfId="0" applyFont="1" applyFill="1" applyBorder="1" applyAlignment="1">
      <alignment horizontal="center" vertical="center" wrapText="1"/>
    </xf>
    <xf numFmtId="0" fontId="19" fillId="12" borderId="1" xfId="0" applyFont="1" applyFill="1" applyBorder="1" applyAlignment="1">
      <alignment horizontal="right" vertical="center"/>
    </xf>
    <xf numFmtId="1" fontId="19" fillId="12" borderId="1" xfId="0" applyNumberFormat="1" applyFont="1" applyFill="1" applyBorder="1" applyAlignment="1">
      <alignment horizontal="right" vertical="center"/>
    </xf>
    <xf numFmtId="1" fontId="18" fillId="14" borderId="1" xfId="0" applyNumberFormat="1" applyFont="1" applyFill="1" applyBorder="1" applyAlignment="1">
      <alignment horizontal="right" vertical="center"/>
    </xf>
    <xf numFmtId="166" fontId="18" fillId="14" borderId="1" xfId="0" applyNumberFormat="1" applyFont="1" applyFill="1" applyBorder="1" applyAlignment="1">
      <alignment horizontal="right" vertical="center"/>
    </xf>
    <xf numFmtId="0" fontId="24" fillId="2" borderId="1" xfId="0" applyFont="1" applyFill="1" applyBorder="1" applyAlignment="1">
      <alignment horizontal="center" vertical="center" wrapText="1"/>
    </xf>
    <xf numFmtId="0" fontId="25" fillId="8" borderId="1" xfId="0" applyFont="1" applyFill="1" applyBorder="1" applyAlignment="1">
      <alignment horizontal="left" vertical="center" wrapText="1"/>
    </xf>
    <xf numFmtId="3" fontId="19" fillId="8" borderId="1" xfId="0" applyNumberFormat="1" applyFont="1" applyFill="1" applyBorder="1" applyAlignment="1">
      <alignment horizontal="right" vertical="center"/>
    </xf>
    <xf numFmtId="167" fontId="19" fillId="8" borderId="1" xfId="0" applyNumberFormat="1" applyFont="1" applyFill="1" applyBorder="1" applyAlignment="1">
      <alignment horizontal="right" vertical="center"/>
    </xf>
    <xf numFmtId="0" fontId="19" fillId="8" borderId="1" xfId="0" applyFont="1" applyFill="1" applyBorder="1" applyAlignment="1">
      <alignment horizontal="right" vertical="center"/>
    </xf>
    <xf numFmtId="0" fontId="21" fillId="9" borderId="1" xfId="0" applyFont="1" applyFill="1" applyBorder="1" applyAlignment="1">
      <alignment horizontal="left" vertical="center" wrapText="1"/>
    </xf>
    <xf numFmtId="3" fontId="19" fillId="9" borderId="1" xfId="0" applyNumberFormat="1" applyFont="1" applyFill="1" applyBorder="1" applyAlignment="1">
      <alignment horizontal="right" vertical="center"/>
    </xf>
    <xf numFmtId="167" fontId="19" fillId="9" borderId="1" xfId="0" applyNumberFormat="1" applyFont="1" applyFill="1" applyBorder="1" applyAlignment="1">
      <alignment horizontal="right" vertical="center"/>
    </xf>
    <xf numFmtId="0" fontId="19" fillId="9" borderId="1" xfId="0" applyFont="1" applyFill="1" applyBorder="1" applyAlignment="1">
      <alignment horizontal="right" vertical="center"/>
    </xf>
    <xf numFmtId="0" fontId="26" fillId="10" borderId="1" xfId="0" applyFont="1" applyFill="1" applyBorder="1" applyAlignment="1">
      <alignment horizontal="left" vertical="center" wrapText="1"/>
    </xf>
    <xf numFmtId="3" fontId="19" fillId="10" borderId="1" xfId="0" applyNumberFormat="1" applyFont="1" applyFill="1" applyBorder="1" applyAlignment="1">
      <alignment horizontal="right" vertical="center"/>
    </xf>
    <xf numFmtId="167" fontId="19" fillId="10" borderId="1" xfId="0" applyNumberFormat="1" applyFont="1" applyFill="1" applyBorder="1" applyAlignment="1">
      <alignment horizontal="right" vertical="center"/>
    </xf>
    <xf numFmtId="0" fontId="19" fillId="10" borderId="1" xfId="0" applyFont="1" applyFill="1" applyBorder="1" applyAlignment="1">
      <alignment horizontal="right" vertical="center"/>
    </xf>
    <xf numFmtId="15" fontId="0" fillId="0" borderId="0" xfId="0" applyNumberFormat="1"/>
    <xf numFmtId="0" fontId="1" fillId="0" borderId="3" xfId="0" applyFont="1" applyBorder="1" applyAlignment="1">
      <alignment horizontal="center"/>
    </xf>
    <xf numFmtId="0" fontId="0" fillId="15" borderId="0" xfId="0" applyFill="1"/>
    <xf numFmtId="15" fontId="1" fillId="0" borderId="3" xfId="0" applyNumberFormat="1" applyFont="1" applyBorder="1" applyAlignment="1">
      <alignment horizontal="center" vertical="center"/>
    </xf>
    <xf numFmtId="0" fontId="0" fillId="16" borderId="3" xfId="0" applyFill="1" applyBorder="1"/>
    <xf numFmtId="166" fontId="0" fillId="16" borderId="3" xfId="0" applyNumberFormat="1" applyFill="1" applyBorder="1"/>
    <xf numFmtId="15" fontId="0" fillId="0" borderId="3" xfId="0" applyNumberFormat="1" applyBorder="1" applyAlignment="1">
      <alignment horizontal="center" vertical="center"/>
    </xf>
    <xf numFmtId="0" fontId="0" fillId="0" borderId="3" xfId="0" applyBorder="1"/>
    <xf numFmtId="0" fontId="0" fillId="0" borderId="3" xfId="0" applyBorder="1" applyAlignment="1">
      <alignment horizontal="center"/>
    </xf>
    <xf numFmtId="15" fontId="0" fillId="17" borderId="3" xfId="0" applyNumberFormat="1" applyFill="1" applyBorder="1" applyAlignment="1">
      <alignment horizontal="center" vertical="center"/>
    </xf>
    <xf numFmtId="0" fontId="0" fillId="17" borderId="3" xfId="0" applyFill="1" applyBorder="1" applyAlignment="1">
      <alignment horizontal="center"/>
    </xf>
    <xf numFmtId="0" fontId="0" fillId="0" borderId="3" xfId="0" applyBorder="1" applyAlignment="1">
      <alignment vertical="center"/>
    </xf>
    <xf numFmtId="0" fontId="0" fillId="18" borderId="3" xfId="0" applyFill="1" applyBorder="1"/>
    <xf numFmtId="166" fontId="0" fillId="18" borderId="3" xfId="0" applyNumberFormat="1" applyFill="1" applyBorder="1"/>
    <xf numFmtId="0" fontId="0" fillId="19" borderId="3" xfId="0" applyFill="1" applyBorder="1"/>
    <xf numFmtId="166" fontId="0" fillId="19" borderId="3" xfId="0" applyNumberFormat="1" applyFill="1" applyBorder="1"/>
    <xf numFmtId="15"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right" textRotation="90"/>
    </xf>
    <xf numFmtId="0" fontId="0" fillId="0" borderId="3" xfId="0" applyBorder="1" applyAlignment="1">
      <alignment horizontal="center" vertical="center" textRotation="90" wrapText="1"/>
    </xf>
    <xf numFmtId="0" fontId="0" fillId="20" borderId="3" xfId="0" applyFill="1" applyBorder="1" applyAlignment="1">
      <alignment horizontal="center" vertical="center" textRotation="90" wrapText="1"/>
    </xf>
    <xf numFmtId="15" fontId="0" fillId="0" borderId="3" xfId="0" applyNumberFormat="1" applyBorder="1"/>
    <xf numFmtId="0" fontId="0" fillId="20" borderId="3" xfId="0" applyFill="1" applyBorder="1" applyAlignment="1">
      <alignment horizontal="center"/>
    </xf>
    <xf numFmtId="168" fontId="29" fillId="21" borderId="3" xfId="1" applyFill="1" applyBorder="1"/>
    <xf numFmtId="0" fontId="29" fillId="21" borderId="3" xfId="1" applyNumberFormat="1" applyFill="1" applyBorder="1" applyAlignment="1">
      <alignment horizontal="center"/>
    </xf>
    <xf numFmtId="168" fontId="1" fillId="0" borderId="3" xfId="1" applyFont="1" applyBorder="1"/>
    <xf numFmtId="168" fontId="29" fillId="0" borderId="3" xfId="1" applyBorder="1"/>
    <xf numFmtId="168" fontId="0" fillId="0" borderId="3" xfId="0" applyNumberFormat="1" applyBorder="1"/>
    <xf numFmtId="9" fontId="0" fillId="0" borderId="0" xfId="0" applyNumberFormat="1"/>
    <xf numFmtId="4" fontId="0" fillId="0" borderId="3" xfId="0" applyNumberFormat="1" applyBorder="1"/>
    <xf numFmtId="168" fontId="29" fillId="20" borderId="3" xfId="1" applyFill="1" applyBorder="1" applyAlignment="1">
      <alignment horizontal="center"/>
    </xf>
    <xf numFmtId="0" fontId="30" fillId="0" borderId="0" xfId="0" applyFont="1"/>
    <xf numFmtId="0" fontId="31" fillId="0" borderId="0" xfId="0" applyFont="1"/>
    <xf numFmtId="0" fontId="33" fillId="0" borderId="0" xfId="0" applyFont="1"/>
    <xf numFmtId="0" fontId="34" fillId="13" borderId="1" xfId="0" applyFont="1" applyFill="1" applyBorder="1" applyAlignment="1">
      <alignment horizontal="center" vertical="center" wrapText="1"/>
    </xf>
    <xf numFmtId="15" fontId="0" fillId="4" borderId="1" xfId="0" applyNumberFormat="1" applyFill="1" applyBorder="1"/>
    <xf numFmtId="15" fontId="0" fillId="6" borderId="1" xfId="0" applyNumberFormat="1" applyFill="1" applyBorder="1"/>
    <xf numFmtId="0" fontId="20" fillId="4" borderId="1" xfId="0" applyFont="1" applyFill="1" applyBorder="1" applyAlignment="1">
      <alignment horizontal="left" vertical="top" wrapText="1"/>
    </xf>
    <xf numFmtId="0" fontId="20" fillId="6" borderId="1" xfId="0" applyFont="1" applyFill="1" applyBorder="1" applyAlignment="1">
      <alignment horizontal="left" vertical="top" wrapText="1"/>
    </xf>
    <xf numFmtId="169" fontId="19" fillId="4" borderId="1" xfId="0" applyNumberFormat="1" applyFont="1" applyFill="1" applyBorder="1" applyAlignment="1">
      <alignment horizontal="center" vertical="center" wrapText="1"/>
    </xf>
    <xf numFmtId="169" fontId="19" fillId="6" borderId="1" xfId="0" applyNumberFormat="1" applyFont="1" applyFill="1" applyBorder="1" applyAlignment="1">
      <alignment horizontal="center" vertical="center" wrapText="1"/>
    </xf>
    <xf numFmtId="169" fontId="18" fillId="13" borderId="1" xfId="0" applyNumberFormat="1" applyFont="1" applyFill="1" applyBorder="1" applyAlignment="1">
      <alignment horizontal="center" vertical="center" wrapText="1"/>
    </xf>
    <xf numFmtId="4" fontId="18" fillId="13" borderId="1" xfId="0" applyNumberFormat="1" applyFont="1" applyFill="1" applyBorder="1" applyAlignment="1">
      <alignment horizontal="center" vertical="center" wrapText="1"/>
    </xf>
    <xf numFmtId="15" fontId="0" fillId="0" borderId="3" xfId="0" applyNumberFormat="1" applyBorder="1"/>
    <xf numFmtId="170" fontId="19" fillId="12" borderId="1" xfId="0" applyNumberFormat="1" applyFont="1" applyFill="1" applyBorder="1" applyAlignment="1">
      <alignment horizontal="center" vertical="center" wrapText="1"/>
    </xf>
    <xf numFmtId="170" fontId="19" fillId="7" borderId="1" xfId="0" applyNumberFormat="1" applyFont="1" applyFill="1" applyBorder="1" applyAlignment="1">
      <alignment horizontal="center" vertical="center" wrapText="1"/>
    </xf>
    <xf numFmtId="172" fontId="29" fillId="0" borderId="0" xfId="1" applyNumberFormat="1"/>
    <xf numFmtId="168" fontId="0" fillId="22" borderId="3" xfId="0" applyNumberFormat="1" applyFill="1" applyBorder="1"/>
    <xf numFmtId="168" fontId="30" fillId="0" borderId="0" xfId="0" applyNumberFormat="1" applyFont="1"/>
    <xf numFmtId="168" fontId="0" fillId="0" borderId="0" xfId="0" applyNumberFormat="1"/>
    <xf numFmtId="165" fontId="0" fillId="0" borderId="0" xfId="0" applyNumberFormat="1"/>
    <xf numFmtId="0" fontId="0" fillId="0" borderId="0" xfId="0" applyAlignment="1">
      <alignment vertical="center"/>
    </xf>
    <xf numFmtId="0" fontId="0" fillId="0" borderId="0" xfId="0" applyAlignment="1">
      <alignment horizontal="center" vertical="center"/>
    </xf>
    <xf numFmtId="15" fontId="0" fillId="23" borderId="0" xfId="0" applyNumberFormat="1" applyFill="1"/>
    <xf numFmtId="0" fontId="0" fillId="23" borderId="0" xfId="0" applyFill="1"/>
    <xf numFmtId="0" fontId="27" fillId="5" borderId="2" xfId="0" applyFont="1" applyFill="1" applyBorder="1" applyAlignment="1">
      <alignment horizontal="left" vertical="center" wrapText="1"/>
    </xf>
    <xf numFmtId="0" fontId="5" fillId="2" borderId="1" xfId="0" applyFont="1" applyFill="1" applyBorder="1" applyAlignment="1">
      <alignment horizontal="center" vertical="center" wrapText="1"/>
    </xf>
    <xf numFmtId="165" fontId="15" fillId="7" borderId="2" xfId="0" applyNumberFormat="1" applyFont="1" applyFill="1" applyBorder="1" applyAlignment="1">
      <alignment horizontal="center" vertical="center" wrapText="1"/>
    </xf>
    <xf numFmtId="165" fontId="16" fillId="8" borderId="2" xfId="0" applyNumberFormat="1" applyFont="1" applyFill="1" applyBorder="1" applyAlignment="1">
      <alignment horizontal="center" vertical="center" wrapText="1"/>
    </xf>
    <xf numFmtId="165" fontId="15" fillId="9" borderId="2" xfId="0" applyNumberFormat="1" applyFont="1" applyFill="1" applyBorder="1" applyAlignment="1">
      <alignment horizontal="center" vertical="center" wrapText="1"/>
    </xf>
    <xf numFmtId="165" fontId="17" fillId="10" borderId="2" xfId="0" applyNumberFormat="1" applyFont="1" applyFill="1" applyBorder="1" applyAlignment="1">
      <alignment horizontal="center" vertical="center" wrapText="1"/>
    </xf>
    <xf numFmtId="0" fontId="37" fillId="4"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164" fontId="13" fillId="7" borderId="2" xfId="0" applyNumberFormat="1" applyFont="1" applyFill="1" applyBorder="1" applyAlignment="1">
      <alignment horizontal="center" vertical="center" wrapText="1"/>
    </xf>
    <xf numFmtId="0" fontId="35"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4" borderId="0" xfId="0" applyFont="1" applyFill="1" applyAlignment="1">
      <alignment horizontal="center" vertical="center" wrapText="1"/>
    </xf>
    <xf numFmtId="0" fontId="6" fillId="5"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36" fillId="5"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30" fillId="0" borderId="0" xfId="0" pivotButton="1" applyFont="1"/>
    <xf numFmtId="0" fontId="30" fillId="0" borderId="0" xfId="0" applyFont="1" applyAlignment="1">
      <alignment horizontal="left"/>
    </xf>
    <xf numFmtId="0" fontId="38" fillId="16" borderId="3" xfId="0" applyFont="1" applyFill="1" applyBorder="1"/>
    <xf numFmtId="166" fontId="38" fillId="16" borderId="3" xfId="0" applyNumberFormat="1" applyFont="1" applyFill="1" applyBorder="1"/>
    <xf numFmtId="0" fontId="38" fillId="0" borderId="0" xfId="0" applyFont="1"/>
    <xf numFmtId="15" fontId="38" fillId="17" borderId="3" xfId="0" applyNumberFormat="1" applyFont="1" applyFill="1" applyBorder="1" applyAlignment="1">
      <alignment horizontal="center" vertical="center"/>
    </xf>
    <xf numFmtId="0" fontId="38" fillId="0" borderId="3" xfId="0" applyFont="1" applyBorder="1"/>
    <xf numFmtId="0" fontId="38" fillId="17" borderId="3" xfId="0" applyFont="1" applyFill="1" applyBorder="1" applyAlignment="1">
      <alignment horizontal="center"/>
    </xf>
    <xf numFmtId="43" fontId="30" fillId="0" borderId="0" xfId="0" applyNumberFormat="1" applyFont="1"/>
    <xf numFmtId="168" fontId="29" fillId="0" borderId="0" xfId="1"/>
    <xf numFmtId="43" fontId="0" fillId="0" borderId="0" xfId="0" applyNumberFormat="1"/>
    <xf numFmtId="0" fontId="30" fillId="24" borderId="3" xfId="0" applyFont="1" applyFill="1" applyBorder="1"/>
    <xf numFmtId="168" fontId="30" fillId="24" borderId="3" xfId="0" applyNumberFormat="1" applyFont="1" applyFill="1" applyBorder="1"/>
    <xf numFmtId="0" fontId="32" fillId="24" borderId="3" xfId="0" applyFont="1" applyFill="1" applyBorder="1"/>
    <xf numFmtId="168" fontId="32" fillId="24" borderId="3" xfId="0" applyNumberFormat="1" applyFont="1" applyFill="1" applyBorder="1"/>
  </cellXfs>
  <cellStyles count="8">
    <cellStyle name="Comma" xfId="1" builtinId="3"/>
    <cellStyle name="Normal" xfId="0" builtinId="0"/>
    <cellStyle name="Pivot Table Category" xfId="5" xr:uid="{00000000-0005-0000-0000-000009000000}"/>
    <cellStyle name="Pivot Table Corner" xfId="2" xr:uid="{00000000-0005-0000-0000-000006000000}"/>
    <cellStyle name="Pivot Table Field" xfId="4" xr:uid="{00000000-0005-0000-0000-000008000000}"/>
    <cellStyle name="Pivot Table Result" xfId="7" xr:uid="{00000000-0005-0000-0000-00000B000000}"/>
    <cellStyle name="Pivot Table Title" xfId="6" xr:uid="{00000000-0005-0000-0000-00000A000000}"/>
    <cellStyle name="Pivot Table Value" xfId="3" xr:uid="{00000000-0005-0000-0000-000007000000}"/>
  </cellStyles>
  <dxfs count="77">
    <dxf>
      <font>
        <name val="Bookman Old Style"/>
        <family val="1"/>
      </font>
    </dxf>
    <dxf>
      <font>
        <name val="Bookman Old Style"/>
        <family val="1"/>
      </font>
    </dxf>
    <dxf>
      <font>
        <name val="Bookman Old Style"/>
        <family val="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name val="Bookman Old Style"/>
        <family val="1"/>
      </font>
    </dxf>
    <dxf>
      <font>
        <name val="Bookman Old Style"/>
        <family val="1"/>
      </font>
    </dxf>
    <dxf>
      <font>
        <name val="Bookman Old Style"/>
        <family val="1"/>
      </font>
    </dxf>
    <dxf>
      <font>
        <name val="Bookman Old Style"/>
        <family val="1"/>
      </font>
    </dxf>
    <dxf>
      <font>
        <name val="Bookman Old Style"/>
        <family val="1"/>
      </font>
    </dxf>
    <dxf>
      <font>
        <name val="Bookman Old Style"/>
        <family val="1"/>
      </font>
    </dxf>
    <dxf>
      <font>
        <name val="Bookman Old Style"/>
        <family val="1"/>
      </font>
    </dxf>
    <dxf>
      <font>
        <name val="Bookman Old Style"/>
        <family val="1"/>
      </font>
    </dxf>
    <dxf>
      <font>
        <name val="Bookman Old Style"/>
        <family val="1"/>
      </font>
    </dxf>
    <dxf>
      <font>
        <name val="Bookman Old Style"/>
        <family val="1"/>
      </font>
    </dxf>
    <dxf>
      <font>
        <name val="Bookman Old Style"/>
        <family val="1"/>
      </font>
    </dxf>
    <dxf>
      <font>
        <name val="Bookman Old Style"/>
        <family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B8860B"/>
      <rgbColor rgb="FF800080"/>
      <rgbColor rgb="FF008080"/>
      <rgbColor rgb="FFC8C4B4"/>
      <rgbColor rgb="FF808080"/>
      <rgbColor rgb="FFFAFAF7"/>
      <rgbColor rgb="FF993366"/>
      <rgbColor rgb="FFFFF3CD"/>
      <rgbColor rgb="FFDDEEFF"/>
      <rgbColor rgb="FF660066"/>
      <rgbColor rgb="FFFF8080"/>
      <rgbColor rgb="FF0066CC"/>
      <rgbColor rgb="FFDBDBDB"/>
      <rgbColor rgb="FF000080"/>
      <rgbColor rgb="FFFF00FF"/>
      <rgbColor rgb="FFFFF0D0"/>
      <rgbColor rgb="FF00FFFF"/>
      <rgbColor rgb="FF800080"/>
      <rgbColor rgb="FF7B1C1C"/>
      <rgbColor rgb="FF008080"/>
      <rgbColor rgb="FF0000FF"/>
      <rgbColor rgb="FF00CCFF"/>
      <rgbColor rgb="FFF2F0E8"/>
      <rgbColor rgb="FFD4EDDA"/>
      <rgbColor rgb="FFFFE699"/>
      <rgbColor rgb="FF9DC3E6"/>
      <rgbColor rgb="FFF8D7DA"/>
      <rgbColor rgb="FFC5E0B4"/>
      <rgbColor rgb="FFFFC7CE"/>
      <rgbColor rgb="FF3366FF"/>
      <rgbColor rgb="FF33CCCC"/>
      <rgbColor rgb="FF92D050"/>
      <rgbColor rgb="FFFFD966"/>
      <rgbColor rgb="FFD4A017"/>
      <rgbColor rgb="FFD4850A"/>
      <rgbColor rgb="FF555555"/>
      <rgbColor rgb="FF969696"/>
      <rgbColor rgb="FF1A3E5C"/>
      <rgbColor rgb="FF339966"/>
      <rgbColor rgb="FF155724"/>
      <rgbColor rgb="FF3E2000"/>
      <rgbColor rgb="FF7A4A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DASHBOARD!$E$13</c:f>
              <c:strCache>
                <c:ptCount val="1"/>
                <c:pt idx="0">
                  <c:v>GOLD RATE
22K (₹)</c:v>
                </c:pt>
              </c:strCache>
            </c:strRef>
          </c:tx>
          <c:spPr>
            <a:ln w="28575" cap="rnd">
              <a:solidFill>
                <a:schemeClr val="accent2"/>
              </a:solidFill>
              <a:round/>
            </a:ln>
            <a:effectLst/>
          </c:spPr>
          <c:marker>
            <c:symbol val="none"/>
          </c:marker>
          <c:cat>
            <c:multiLvlStrRef>
              <c:f>DASHBOARD!$B$14:$C$29</c:f>
              <c:multiLvlStrCache>
                <c:ptCount val="16"/>
                <c:lvl>
                  <c:pt idx="0">
                    <c:v>10/Apr/2025</c:v>
                  </c:pt>
                  <c:pt idx="1">
                    <c:v>22/Sep/2025</c:v>
                  </c:pt>
                  <c:pt idx="2">
                    <c:v>09/Aug/2025</c:v>
                  </c:pt>
                  <c:pt idx="3">
                    <c:v>12/Mar/2026</c:v>
                  </c:pt>
                  <c:pt idx="4">
                    <c:v>01/Sep/2025</c:v>
                  </c:pt>
                  <c:pt idx="5">
                    <c:v>15/Aug/2025</c:v>
                  </c:pt>
                  <c:pt idx="6">
                    <c:v>25/Nov/2025</c:v>
                  </c:pt>
                  <c:pt idx="7">
                    <c:v>26/Dec/2025</c:v>
                  </c:pt>
                  <c:pt idx="8">
                    <c:v>31/Jan/2026</c:v>
                  </c:pt>
                  <c:pt idx="9">
                    <c:v>27/Jan/2026</c:v>
                  </c:pt>
                  <c:pt idx="10">
                    <c:v>07/Nov/2025</c:v>
                  </c:pt>
                  <c:pt idx="11">
                    <c:v>17/Jan/2026</c:v>
                  </c:pt>
                  <c:pt idx="12">
                    <c:v>24/Nov/2025</c:v>
                  </c:pt>
                  <c:pt idx="13">
                    <c:v>28/Jan/2026</c:v>
                  </c:pt>
                  <c:pt idx="14">
                    <c:v>11/Nov/2025</c:v>
                  </c:pt>
                  <c:pt idx="15">
                    <c:v>12/Dec/2025</c:v>
                  </c:pt>
                </c:lvl>
                <c:lvl>
                  <c:pt idx="0">
                    <c:v>MBAN32</c:v>
                  </c:pt>
                  <c:pt idx="1">
                    <c:v>MBAN37</c:v>
                  </c:pt>
                  <c:pt idx="2">
                    <c:v>MBAN38</c:v>
                  </c:pt>
                  <c:pt idx="3">
                    <c:v>MBRAC7</c:v>
                  </c:pt>
                  <c:pt idx="4">
                    <c:v>MBAN41</c:v>
                  </c:pt>
                  <c:pt idx="5">
                    <c:v>MRING2</c:v>
                  </c:pt>
                  <c:pt idx="6">
                    <c:v>MRING3</c:v>
                  </c:pt>
                  <c:pt idx="7">
                    <c:v>MBRAC12</c:v>
                  </c:pt>
                  <c:pt idx="8">
                    <c:v>MBRAC14</c:v>
                  </c:pt>
                  <c:pt idx="9">
                    <c:v>MBRAC11</c:v>
                  </c:pt>
                  <c:pt idx="10">
                    <c:v>MPENDAL5</c:v>
                  </c:pt>
                  <c:pt idx="11">
                    <c:v>MPENDAL7</c:v>
                  </c:pt>
                  <c:pt idx="12">
                    <c:v>MRING4</c:v>
                  </c:pt>
                  <c:pt idx="13">
                    <c:v>MRING5</c:v>
                  </c:pt>
                  <c:pt idx="14">
                    <c:v>MRING7</c:v>
                  </c:pt>
                  <c:pt idx="15">
                    <c:v>MRING8</c:v>
                  </c:pt>
                </c:lvl>
              </c:multiLvlStrCache>
            </c:multiLvlStrRef>
          </c:cat>
          <c:val>
            <c:numRef>
              <c:f>DASHBOARD!$E$14:$E$29</c:f>
              <c:numCache>
                <c:formatCode>#,##0</c:formatCode>
                <c:ptCount val="16"/>
                <c:pt idx="0">
                  <c:v>9428</c:v>
                </c:pt>
                <c:pt idx="1">
                  <c:v>10191</c:v>
                </c:pt>
                <c:pt idx="2">
                  <c:v>9333</c:v>
                </c:pt>
                <c:pt idx="3">
                  <c:v>14764</c:v>
                </c:pt>
                <c:pt idx="4">
                  <c:v>9637</c:v>
                </c:pt>
                <c:pt idx="5">
                  <c:v>9200</c:v>
                </c:pt>
                <c:pt idx="6">
                  <c:v>11316</c:v>
                </c:pt>
                <c:pt idx="7">
                  <c:v>12737</c:v>
                </c:pt>
                <c:pt idx="8">
                  <c:v>13487</c:v>
                </c:pt>
                <c:pt idx="9">
                  <c:v>15100</c:v>
                </c:pt>
                <c:pt idx="10">
                  <c:v>10601</c:v>
                </c:pt>
                <c:pt idx="11">
                  <c:v>13075</c:v>
                </c:pt>
                <c:pt idx="12">
                  <c:v>11343</c:v>
                </c:pt>
                <c:pt idx="13">
                  <c:v>12565</c:v>
                </c:pt>
                <c:pt idx="14">
                  <c:v>11459</c:v>
                </c:pt>
                <c:pt idx="15">
                  <c:v>12308</c:v>
                </c:pt>
              </c:numCache>
            </c:numRef>
          </c:val>
          <c:smooth val="0"/>
          <c:extLst>
            <c:ext xmlns:c16="http://schemas.microsoft.com/office/drawing/2014/chart" uri="{C3380CC4-5D6E-409C-BE32-E72D297353CC}">
              <c16:uniqueId val="{00000001-B26A-458B-8DC4-6DA673008B17}"/>
            </c:ext>
          </c:extLst>
        </c:ser>
        <c:ser>
          <c:idx val="4"/>
          <c:order val="4"/>
          <c:tx>
            <c:strRef>
              <c:f>DASHBOARD!$H$13</c:f>
              <c:strCache>
                <c:ptCount val="1"/>
                <c:pt idx="0">
                  <c:v>SHARABLE
PROFIT (₹)</c:v>
                </c:pt>
              </c:strCache>
            </c:strRef>
          </c:tx>
          <c:spPr>
            <a:ln w="28575" cap="rnd">
              <a:solidFill>
                <a:schemeClr val="accent5"/>
              </a:solidFill>
              <a:round/>
            </a:ln>
            <a:effectLst/>
          </c:spPr>
          <c:marker>
            <c:symbol val="none"/>
          </c:marker>
          <c:cat>
            <c:multiLvlStrRef>
              <c:f>DASHBOARD!$B$14:$C$29</c:f>
              <c:multiLvlStrCache>
                <c:ptCount val="16"/>
                <c:lvl>
                  <c:pt idx="0">
                    <c:v>10/Apr/2025</c:v>
                  </c:pt>
                  <c:pt idx="1">
                    <c:v>22/Sep/2025</c:v>
                  </c:pt>
                  <c:pt idx="2">
                    <c:v>09/Aug/2025</c:v>
                  </c:pt>
                  <c:pt idx="3">
                    <c:v>12/Mar/2026</c:v>
                  </c:pt>
                  <c:pt idx="4">
                    <c:v>01/Sep/2025</c:v>
                  </c:pt>
                  <c:pt idx="5">
                    <c:v>15/Aug/2025</c:v>
                  </c:pt>
                  <c:pt idx="6">
                    <c:v>25/Nov/2025</c:v>
                  </c:pt>
                  <c:pt idx="7">
                    <c:v>26/Dec/2025</c:v>
                  </c:pt>
                  <c:pt idx="8">
                    <c:v>31/Jan/2026</c:v>
                  </c:pt>
                  <c:pt idx="9">
                    <c:v>27/Jan/2026</c:v>
                  </c:pt>
                  <c:pt idx="10">
                    <c:v>07/Nov/2025</c:v>
                  </c:pt>
                  <c:pt idx="11">
                    <c:v>17/Jan/2026</c:v>
                  </c:pt>
                  <c:pt idx="12">
                    <c:v>24/Nov/2025</c:v>
                  </c:pt>
                  <c:pt idx="13">
                    <c:v>28/Jan/2026</c:v>
                  </c:pt>
                  <c:pt idx="14">
                    <c:v>11/Nov/2025</c:v>
                  </c:pt>
                  <c:pt idx="15">
                    <c:v>12/Dec/2025</c:v>
                  </c:pt>
                </c:lvl>
                <c:lvl>
                  <c:pt idx="0">
                    <c:v>MBAN32</c:v>
                  </c:pt>
                  <c:pt idx="1">
                    <c:v>MBAN37</c:v>
                  </c:pt>
                  <c:pt idx="2">
                    <c:v>MBAN38</c:v>
                  </c:pt>
                  <c:pt idx="3">
                    <c:v>MBRAC7</c:v>
                  </c:pt>
                  <c:pt idx="4">
                    <c:v>MBAN41</c:v>
                  </c:pt>
                  <c:pt idx="5">
                    <c:v>MRING2</c:v>
                  </c:pt>
                  <c:pt idx="6">
                    <c:v>MRING3</c:v>
                  </c:pt>
                  <c:pt idx="7">
                    <c:v>MBRAC12</c:v>
                  </c:pt>
                  <c:pt idx="8">
                    <c:v>MBRAC14</c:v>
                  </c:pt>
                  <c:pt idx="9">
                    <c:v>MBRAC11</c:v>
                  </c:pt>
                  <c:pt idx="10">
                    <c:v>MPENDAL5</c:v>
                  </c:pt>
                  <c:pt idx="11">
                    <c:v>MPENDAL7</c:v>
                  </c:pt>
                  <c:pt idx="12">
                    <c:v>MRING4</c:v>
                  </c:pt>
                  <c:pt idx="13">
                    <c:v>MRING5</c:v>
                  </c:pt>
                  <c:pt idx="14">
                    <c:v>MRING7</c:v>
                  </c:pt>
                  <c:pt idx="15">
                    <c:v>MRING8</c:v>
                  </c:pt>
                </c:lvl>
              </c:multiLvlStrCache>
            </c:multiLvlStrRef>
          </c:cat>
          <c:val>
            <c:numRef>
              <c:f>DASHBOARD!$H$14:$H$29</c:f>
              <c:numCache>
                <c:formatCode>#,##0</c:formatCode>
                <c:ptCount val="16"/>
                <c:pt idx="0">
                  <c:v>30947.504280000005</c:v>
                </c:pt>
                <c:pt idx="1">
                  <c:v>29527.403399999999</c:v>
                </c:pt>
                <c:pt idx="2">
                  <c:v>21878.045279999998</c:v>
                </c:pt>
                <c:pt idx="3">
                  <c:v>6888.43948</c:v>
                </c:pt>
                <c:pt idx="4">
                  <c:v>49903.855320000002</c:v>
                </c:pt>
                <c:pt idx="5">
                  <c:v>6281.2999999999993</c:v>
                </c:pt>
                <c:pt idx="6">
                  <c:v>5546.4242400000003</c:v>
                </c:pt>
                <c:pt idx="7">
                  <c:v>48205.087050000002</c:v>
                </c:pt>
                <c:pt idx="8">
                  <c:v>58592.113579999997</c:v>
                </c:pt>
                <c:pt idx="9">
                  <c:v>43934.431499999999</c:v>
                </c:pt>
                <c:pt idx="10">
                  <c:v>1449.79276</c:v>
                </c:pt>
                <c:pt idx="11">
                  <c:v>3010.2572499999997</c:v>
                </c:pt>
                <c:pt idx="12">
                  <c:v>2965.9676399999994</c:v>
                </c:pt>
                <c:pt idx="13">
                  <c:v>4557.4511500000008</c:v>
                </c:pt>
                <c:pt idx="14">
                  <c:v>4811.6341000000002</c:v>
                </c:pt>
                <c:pt idx="15">
                  <c:v>7089.7772400000003</c:v>
                </c:pt>
              </c:numCache>
            </c:numRef>
          </c:val>
          <c:smooth val="0"/>
          <c:extLst>
            <c:ext xmlns:c16="http://schemas.microsoft.com/office/drawing/2014/chart" uri="{C3380CC4-5D6E-409C-BE32-E72D297353CC}">
              <c16:uniqueId val="{00000004-B26A-458B-8DC4-6DA673008B17}"/>
            </c:ext>
          </c:extLst>
        </c:ser>
        <c:ser>
          <c:idx val="5"/>
          <c:order val="5"/>
          <c:tx>
            <c:strRef>
              <c:f>DASHBOARD!$I$13</c:f>
              <c:strCache>
                <c:ptCount val="1"/>
                <c:pt idx="0">
                  <c:v>OP COST
15% (₹)</c:v>
                </c:pt>
              </c:strCache>
            </c:strRef>
          </c:tx>
          <c:spPr>
            <a:ln w="28575" cap="rnd">
              <a:solidFill>
                <a:schemeClr val="accent6"/>
              </a:solidFill>
              <a:round/>
            </a:ln>
            <a:effectLst/>
          </c:spPr>
          <c:marker>
            <c:symbol val="none"/>
          </c:marker>
          <c:cat>
            <c:multiLvlStrRef>
              <c:f>DASHBOARD!$B$14:$C$29</c:f>
              <c:multiLvlStrCache>
                <c:ptCount val="16"/>
                <c:lvl>
                  <c:pt idx="0">
                    <c:v>10/Apr/2025</c:v>
                  </c:pt>
                  <c:pt idx="1">
                    <c:v>22/Sep/2025</c:v>
                  </c:pt>
                  <c:pt idx="2">
                    <c:v>09/Aug/2025</c:v>
                  </c:pt>
                  <c:pt idx="3">
                    <c:v>12/Mar/2026</c:v>
                  </c:pt>
                  <c:pt idx="4">
                    <c:v>01/Sep/2025</c:v>
                  </c:pt>
                  <c:pt idx="5">
                    <c:v>15/Aug/2025</c:v>
                  </c:pt>
                  <c:pt idx="6">
                    <c:v>25/Nov/2025</c:v>
                  </c:pt>
                  <c:pt idx="7">
                    <c:v>26/Dec/2025</c:v>
                  </c:pt>
                  <c:pt idx="8">
                    <c:v>31/Jan/2026</c:v>
                  </c:pt>
                  <c:pt idx="9">
                    <c:v>27/Jan/2026</c:v>
                  </c:pt>
                  <c:pt idx="10">
                    <c:v>07/Nov/2025</c:v>
                  </c:pt>
                  <c:pt idx="11">
                    <c:v>17/Jan/2026</c:v>
                  </c:pt>
                  <c:pt idx="12">
                    <c:v>24/Nov/2025</c:v>
                  </c:pt>
                  <c:pt idx="13">
                    <c:v>28/Jan/2026</c:v>
                  </c:pt>
                  <c:pt idx="14">
                    <c:v>11/Nov/2025</c:v>
                  </c:pt>
                  <c:pt idx="15">
                    <c:v>12/Dec/2025</c:v>
                  </c:pt>
                </c:lvl>
                <c:lvl>
                  <c:pt idx="0">
                    <c:v>MBAN32</c:v>
                  </c:pt>
                  <c:pt idx="1">
                    <c:v>MBAN37</c:v>
                  </c:pt>
                  <c:pt idx="2">
                    <c:v>MBAN38</c:v>
                  </c:pt>
                  <c:pt idx="3">
                    <c:v>MBRAC7</c:v>
                  </c:pt>
                  <c:pt idx="4">
                    <c:v>MBAN41</c:v>
                  </c:pt>
                  <c:pt idx="5">
                    <c:v>MRING2</c:v>
                  </c:pt>
                  <c:pt idx="6">
                    <c:v>MRING3</c:v>
                  </c:pt>
                  <c:pt idx="7">
                    <c:v>MBRAC12</c:v>
                  </c:pt>
                  <c:pt idx="8">
                    <c:v>MBRAC14</c:v>
                  </c:pt>
                  <c:pt idx="9">
                    <c:v>MBRAC11</c:v>
                  </c:pt>
                  <c:pt idx="10">
                    <c:v>MPENDAL5</c:v>
                  </c:pt>
                  <c:pt idx="11">
                    <c:v>MPENDAL7</c:v>
                  </c:pt>
                  <c:pt idx="12">
                    <c:v>MRING4</c:v>
                  </c:pt>
                  <c:pt idx="13">
                    <c:v>MRING5</c:v>
                  </c:pt>
                  <c:pt idx="14">
                    <c:v>MRING7</c:v>
                  </c:pt>
                  <c:pt idx="15">
                    <c:v>MRING8</c:v>
                  </c:pt>
                </c:lvl>
              </c:multiLvlStrCache>
            </c:multiLvlStrRef>
          </c:cat>
          <c:val>
            <c:numRef>
              <c:f>DASHBOARD!$I$14:$I$29</c:f>
              <c:numCache>
                <c:formatCode>#,##0</c:formatCode>
                <c:ptCount val="16"/>
                <c:pt idx="0">
                  <c:v>4642.13</c:v>
                </c:pt>
                <c:pt idx="1">
                  <c:v>4429.1099999999997</c:v>
                </c:pt>
                <c:pt idx="2">
                  <c:v>3281.71</c:v>
                </c:pt>
                <c:pt idx="3">
                  <c:v>1033.27</c:v>
                </c:pt>
                <c:pt idx="4">
                  <c:v>7485.58</c:v>
                </c:pt>
                <c:pt idx="5">
                  <c:v>942.2</c:v>
                </c:pt>
                <c:pt idx="6">
                  <c:v>831.96</c:v>
                </c:pt>
                <c:pt idx="7">
                  <c:v>7230.76</c:v>
                </c:pt>
                <c:pt idx="8">
                  <c:v>8788.82</c:v>
                </c:pt>
                <c:pt idx="9">
                  <c:v>6590.16</c:v>
                </c:pt>
                <c:pt idx="10">
                  <c:v>217.47</c:v>
                </c:pt>
                <c:pt idx="11">
                  <c:v>451.54</c:v>
                </c:pt>
                <c:pt idx="12">
                  <c:v>444.9</c:v>
                </c:pt>
                <c:pt idx="13">
                  <c:v>683.62</c:v>
                </c:pt>
                <c:pt idx="14">
                  <c:v>721.75</c:v>
                </c:pt>
                <c:pt idx="15">
                  <c:v>1063.47</c:v>
                </c:pt>
              </c:numCache>
            </c:numRef>
          </c:val>
          <c:smooth val="0"/>
          <c:extLst>
            <c:ext xmlns:c16="http://schemas.microsoft.com/office/drawing/2014/chart" uri="{C3380CC4-5D6E-409C-BE32-E72D297353CC}">
              <c16:uniqueId val="{00000005-B26A-458B-8DC4-6DA673008B17}"/>
            </c:ext>
          </c:extLst>
        </c:ser>
        <c:ser>
          <c:idx val="6"/>
          <c:order val="6"/>
          <c:tx>
            <c:strRef>
              <c:f>DASHBOARD!$J$13</c:f>
              <c:strCache>
                <c:ptCount val="1"/>
                <c:pt idx="0">
                  <c:v>MS SHARE (₹)</c:v>
                </c:pt>
              </c:strCache>
            </c:strRef>
          </c:tx>
          <c:spPr>
            <a:ln w="28575" cap="rnd">
              <a:solidFill>
                <a:schemeClr val="accent1">
                  <a:lumMod val="60000"/>
                </a:schemeClr>
              </a:solidFill>
              <a:round/>
            </a:ln>
            <a:effectLst/>
          </c:spPr>
          <c:marker>
            <c:symbol val="none"/>
          </c:marker>
          <c:cat>
            <c:multiLvlStrRef>
              <c:f>DASHBOARD!$B$14:$C$29</c:f>
              <c:multiLvlStrCache>
                <c:ptCount val="16"/>
                <c:lvl>
                  <c:pt idx="0">
                    <c:v>10/Apr/2025</c:v>
                  </c:pt>
                  <c:pt idx="1">
                    <c:v>22/Sep/2025</c:v>
                  </c:pt>
                  <c:pt idx="2">
                    <c:v>09/Aug/2025</c:v>
                  </c:pt>
                  <c:pt idx="3">
                    <c:v>12/Mar/2026</c:v>
                  </c:pt>
                  <c:pt idx="4">
                    <c:v>01/Sep/2025</c:v>
                  </c:pt>
                  <c:pt idx="5">
                    <c:v>15/Aug/2025</c:v>
                  </c:pt>
                  <c:pt idx="6">
                    <c:v>25/Nov/2025</c:v>
                  </c:pt>
                  <c:pt idx="7">
                    <c:v>26/Dec/2025</c:v>
                  </c:pt>
                  <c:pt idx="8">
                    <c:v>31/Jan/2026</c:v>
                  </c:pt>
                  <c:pt idx="9">
                    <c:v>27/Jan/2026</c:v>
                  </c:pt>
                  <c:pt idx="10">
                    <c:v>07/Nov/2025</c:v>
                  </c:pt>
                  <c:pt idx="11">
                    <c:v>17/Jan/2026</c:v>
                  </c:pt>
                  <c:pt idx="12">
                    <c:v>24/Nov/2025</c:v>
                  </c:pt>
                  <c:pt idx="13">
                    <c:v>28/Jan/2026</c:v>
                  </c:pt>
                  <c:pt idx="14">
                    <c:v>11/Nov/2025</c:v>
                  </c:pt>
                  <c:pt idx="15">
                    <c:v>12/Dec/2025</c:v>
                  </c:pt>
                </c:lvl>
                <c:lvl>
                  <c:pt idx="0">
                    <c:v>MBAN32</c:v>
                  </c:pt>
                  <c:pt idx="1">
                    <c:v>MBAN37</c:v>
                  </c:pt>
                  <c:pt idx="2">
                    <c:v>MBAN38</c:v>
                  </c:pt>
                  <c:pt idx="3">
                    <c:v>MBRAC7</c:v>
                  </c:pt>
                  <c:pt idx="4">
                    <c:v>MBAN41</c:v>
                  </c:pt>
                  <c:pt idx="5">
                    <c:v>MRING2</c:v>
                  </c:pt>
                  <c:pt idx="6">
                    <c:v>MRING3</c:v>
                  </c:pt>
                  <c:pt idx="7">
                    <c:v>MBRAC12</c:v>
                  </c:pt>
                  <c:pt idx="8">
                    <c:v>MBRAC14</c:v>
                  </c:pt>
                  <c:pt idx="9">
                    <c:v>MBRAC11</c:v>
                  </c:pt>
                  <c:pt idx="10">
                    <c:v>MPENDAL5</c:v>
                  </c:pt>
                  <c:pt idx="11">
                    <c:v>MPENDAL7</c:v>
                  </c:pt>
                  <c:pt idx="12">
                    <c:v>MRING4</c:v>
                  </c:pt>
                  <c:pt idx="13">
                    <c:v>MRING5</c:v>
                  </c:pt>
                  <c:pt idx="14">
                    <c:v>MRING7</c:v>
                  </c:pt>
                  <c:pt idx="15">
                    <c:v>MRING8</c:v>
                  </c:pt>
                </c:lvl>
              </c:multiLvlStrCache>
            </c:multiLvlStrRef>
          </c:cat>
          <c:val>
            <c:numRef>
              <c:f>DASHBOARD!$J$14:$J$29</c:f>
              <c:numCache>
                <c:formatCode>#,##0</c:formatCode>
                <c:ptCount val="16"/>
                <c:pt idx="0">
                  <c:v>15783.22</c:v>
                </c:pt>
                <c:pt idx="1">
                  <c:v>15058.98</c:v>
                </c:pt>
                <c:pt idx="2">
                  <c:v>11157.8</c:v>
                </c:pt>
                <c:pt idx="3">
                  <c:v>3513.1</c:v>
                </c:pt>
                <c:pt idx="4">
                  <c:v>25450.97</c:v>
                </c:pt>
                <c:pt idx="5">
                  <c:v>3203.46</c:v>
                </c:pt>
                <c:pt idx="6">
                  <c:v>2828.68</c:v>
                </c:pt>
                <c:pt idx="7">
                  <c:v>24584.6</c:v>
                </c:pt>
                <c:pt idx="8">
                  <c:v>29881.98</c:v>
                </c:pt>
                <c:pt idx="9">
                  <c:v>22406.560000000001</c:v>
                </c:pt>
                <c:pt idx="10">
                  <c:v>739.39</c:v>
                </c:pt>
                <c:pt idx="11">
                  <c:v>1535.23</c:v>
                </c:pt>
                <c:pt idx="12">
                  <c:v>1512.64</c:v>
                </c:pt>
                <c:pt idx="13">
                  <c:v>2324.3000000000002</c:v>
                </c:pt>
                <c:pt idx="14">
                  <c:v>2453.9299999999998</c:v>
                </c:pt>
                <c:pt idx="15">
                  <c:v>3615.78</c:v>
                </c:pt>
              </c:numCache>
            </c:numRef>
          </c:val>
          <c:smooth val="0"/>
          <c:extLst>
            <c:ext xmlns:c16="http://schemas.microsoft.com/office/drawing/2014/chart" uri="{C3380CC4-5D6E-409C-BE32-E72D297353CC}">
              <c16:uniqueId val="{00000006-B26A-458B-8DC4-6DA673008B17}"/>
            </c:ext>
          </c:extLst>
        </c:ser>
        <c:dLbls>
          <c:showLegendKey val="0"/>
          <c:showVal val="0"/>
          <c:showCatName val="0"/>
          <c:showSerName val="0"/>
          <c:showPercent val="0"/>
          <c:showBubbleSize val="0"/>
        </c:dLbls>
        <c:smooth val="0"/>
        <c:axId val="1561082672"/>
        <c:axId val="1561083152"/>
        <c:extLst>
          <c:ext xmlns:c15="http://schemas.microsoft.com/office/drawing/2012/chart" uri="{02D57815-91ED-43cb-92C2-25804820EDAC}">
            <c15:filteredLineSeries>
              <c15:ser>
                <c:idx val="0"/>
                <c:order val="0"/>
                <c:tx>
                  <c:strRef>
                    <c:extLst>
                      <c:ext uri="{02D57815-91ED-43cb-92C2-25804820EDAC}">
                        <c15:formulaRef>
                          <c15:sqref>DASHBOARD!$D$13</c15:sqref>
                        </c15:formulaRef>
                      </c:ext>
                    </c:extLst>
                    <c:strCache>
                      <c:ptCount val="1"/>
                      <c:pt idx="0">
                        <c:v>WT (g)</c:v>
                      </c:pt>
                    </c:strCache>
                  </c:strRef>
                </c:tx>
                <c:spPr>
                  <a:ln w="28575" cap="rnd">
                    <a:solidFill>
                      <a:schemeClr val="accent1"/>
                    </a:solidFill>
                    <a:round/>
                  </a:ln>
                  <a:effectLst/>
                </c:spPr>
                <c:marker>
                  <c:symbol val="none"/>
                </c:marker>
                <c:cat>
                  <c:multiLvlStrRef>
                    <c:extLst>
                      <c:ext uri="{02D57815-91ED-43cb-92C2-25804820EDAC}">
                        <c15:formulaRef>
                          <c15:sqref>DASHBOARD!$B$14:$C$29</c15:sqref>
                        </c15:formulaRef>
                      </c:ext>
                    </c:extLst>
                    <c:multiLvlStrCache>
                      <c:ptCount val="16"/>
                      <c:lvl>
                        <c:pt idx="0">
                          <c:v>10/Apr/2025</c:v>
                        </c:pt>
                        <c:pt idx="1">
                          <c:v>22/Sep/2025</c:v>
                        </c:pt>
                        <c:pt idx="2">
                          <c:v>09/Aug/2025</c:v>
                        </c:pt>
                        <c:pt idx="3">
                          <c:v>12/Mar/2026</c:v>
                        </c:pt>
                        <c:pt idx="4">
                          <c:v>01/Sep/2025</c:v>
                        </c:pt>
                        <c:pt idx="5">
                          <c:v>15/Aug/2025</c:v>
                        </c:pt>
                        <c:pt idx="6">
                          <c:v>25/Nov/2025</c:v>
                        </c:pt>
                        <c:pt idx="7">
                          <c:v>26/Dec/2025</c:v>
                        </c:pt>
                        <c:pt idx="8">
                          <c:v>31/Jan/2026</c:v>
                        </c:pt>
                        <c:pt idx="9">
                          <c:v>27/Jan/2026</c:v>
                        </c:pt>
                        <c:pt idx="10">
                          <c:v>07/Nov/2025</c:v>
                        </c:pt>
                        <c:pt idx="11">
                          <c:v>17/Jan/2026</c:v>
                        </c:pt>
                        <c:pt idx="12">
                          <c:v>24/Nov/2025</c:v>
                        </c:pt>
                        <c:pt idx="13">
                          <c:v>28/Jan/2026</c:v>
                        </c:pt>
                        <c:pt idx="14">
                          <c:v>11/Nov/2025</c:v>
                        </c:pt>
                        <c:pt idx="15">
                          <c:v>12/Dec/2025</c:v>
                        </c:pt>
                      </c:lvl>
                      <c:lvl>
                        <c:pt idx="0">
                          <c:v>MBAN32</c:v>
                        </c:pt>
                        <c:pt idx="1">
                          <c:v>MBAN37</c:v>
                        </c:pt>
                        <c:pt idx="2">
                          <c:v>MBAN38</c:v>
                        </c:pt>
                        <c:pt idx="3">
                          <c:v>MBRAC7</c:v>
                        </c:pt>
                        <c:pt idx="4">
                          <c:v>MBAN41</c:v>
                        </c:pt>
                        <c:pt idx="5">
                          <c:v>MRING2</c:v>
                        </c:pt>
                        <c:pt idx="6">
                          <c:v>MRING3</c:v>
                        </c:pt>
                        <c:pt idx="7">
                          <c:v>MBRAC12</c:v>
                        </c:pt>
                        <c:pt idx="8">
                          <c:v>MBRAC14</c:v>
                        </c:pt>
                        <c:pt idx="9">
                          <c:v>MBRAC11</c:v>
                        </c:pt>
                        <c:pt idx="10">
                          <c:v>MPENDAL5</c:v>
                        </c:pt>
                        <c:pt idx="11">
                          <c:v>MPENDAL7</c:v>
                        </c:pt>
                        <c:pt idx="12">
                          <c:v>MRING4</c:v>
                        </c:pt>
                        <c:pt idx="13">
                          <c:v>MRING5</c:v>
                        </c:pt>
                        <c:pt idx="14">
                          <c:v>MRING7</c:v>
                        </c:pt>
                        <c:pt idx="15">
                          <c:v>MRING8</c:v>
                        </c:pt>
                      </c:lvl>
                    </c:multiLvlStrCache>
                  </c:multiLvlStrRef>
                </c:cat>
                <c:val>
                  <c:numRef>
                    <c:extLst>
                      <c:ext uri="{02D57815-91ED-43cb-92C2-25804820EDAC}">
                        <c15:formulaRef>
                          <c15:sqref>DASHBOARD!$D$14:$D$29</c15:sqref>
                        </c15:formulaRef>
                      </c:ext>
                    </c:extLst>
                    <c:numCache>
                      <c:formatCode>0.000</c:formatCode>
                      <c:ptCount val="16"/>
                      <c:pt idx="0">
                        <c:v>46.893000000000001</c:v>
                      </c:pt>
                      <c:pt idx="1">
                        <c:v>26.34</c:v>
                      </c:pt>
                      <c:pt idx="2">
                        <c:v>29.302</c:v>
                      </c:pt>
                      <c:pt idx="3">
                        <c:v>3.589</c:v>
                      </c:pt>
                      <c:pt idx="4">
                        <c:v>47.076000000000001</c:v>
                      </c:pt>
                      <c:pt idx="5">
                        <c:v>5.4619999999999997</c:v>
                      </c:pt>
                      <c:pt idx="6">
                        <c:v>3.5009999999999999</c:v>
                      </c:pt>
                      <c:pt idx="7">
                        <c:v>25.231000000000002</c:v>
                      </c:pt>
                      <c:pt idx="8">
                        <c:v>33.417999999999999</c:v>
                      </c:pt>
                      <c:pt idx="9">
                        <c:v>30.626999999999999</c:v>
                      </c:pt>
                      <c:pt idx="10">
                        <c:v>1.052</c:v>
                      </c:pt>
                      <c:pt idx="11">
                        <c:v>2.093</c:v>
                      </c:pt>
                      <c:pt idx="12">
                        <c:v>2.1789999999999998</c:v>
                      </c:pt>
                      <c:pt idx="13">
                        <c:v>1.577</c:v>
                      </c:pt>
                      <c:pt idx="14">
                        <c:v>3.23</c:v>
                      </c:pt>
                      <c:pt idx="15">
                        <c:v>4.431</c:v>
                      </c:pt>
                    </c:numCache>
                  </c:numRef>
                </c:val>
                <c:smooth val="0"/>
                <c:extLst>
                  <c:ext xmlns:c16="http://schemas.microsoft.com/office/drawing/2014/chart" uri="{C3380CC4-5D6E-409C-BE32-E72D297353CC}">
                    <c16:uniqueId val="{00000000-B26A-458B-8DC4-6DA673008B17}"/>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DASHBOARD!$F$13</c15:sqref>
                        </c15:formulaRef>
                      </c:ext>
                    </c:extLst>
                    <c:strCache>
                      <c:ptCount val="1"/>
                      <c:pt idx="0">
                        <c:v>LABOUR
COST (₹)</c:v>
                      </c:pt>
                    </c:strCache>
                  </c:strRef>
                </c:tx>
                <c:spPr>
                  <a:ln w="28575" cap="rnd">
                    <a:solidFill>
                      <a:schemeClr val="accent3"/>
                    </a:solidFill>
                    <a:round/>
                  </a:ln>
                  <a:effectLst/>
                </c:spPr>
                <c:marker>
                  <c:symbol val="none"/>
                </c:marker>
                <c:cat>
                  <c:multiLvlStrRef>
                    <c:extLst xmlns:c15="http://schemas.microsoft.com/office/drawing/2012/chart">
                      <c:ext xmlns:c15="http://schemas.microsoft.com/office/drawing/2012/chart" uri="{02D57815-91ED-43cb-92C2-25804820EDAC}">
                        <c15:formulaRef>
                          <c15:sqref>DASHBOARD!$B$14:$C$29</c15:sqref>
                        </c15:formulaRef>
                      </c:ext>
                    </c:extLst>
                    <c:multiLvlStrCache>
                      <c:ptCount val="16"/>
                      <c:lvl>
                        <c:pt idx="0">
                          <c:v>10/Apr/2025</c:v>
                        </c:pt>
                        <c:pt idx="1">
                          <c:v>22/Sep/2025</c:v>
                        </c:pt>
                        <c:pt idx="2">
                          <c:v>09/Aug/2025</c:v>
                        </c:pt>
                        <c:pt idx="3">
                          <c:v>12/Mar/2026</c:v>
                        </c:pt>
                        <c:pt idx="4">
                          <c:v>01/Sep/2025</c:v>
                        </c:pt>
                        <c:pt idx="5">
                          <c:v>15/Aug/2025</c:v>
                        </c:pt>
                        <c:pt idx="6">
                          <c:v>25/Nov/2025</c:v>
                        </c:pt>
                        <c:pt idx="7">
                          <c:v>26/Dec/2025</c:v>
                        </c:pt>
                        <c:pt idx="8">
                          <c:v>31/Jan/2026</c:v>
                        </c:pt>
                        <c:pt idx="9">
                          <c:v>27/Jan/2026</c:v>
                        </c:pt>
                        <c:pt idx="10">
                          <c:v>07/Nov/2025</c:v>
                        </c:pt>
                        <c:pt idx="11">
                          <c:v>17/Jan/2026</c:v>
                        </c:pt>
                        <c:pt idx="12">
                          <c:v>24/Nov/2025</c:v>
                        </c:pt>
                        <c:pt idx="13">
                          <c:v>28/Jan/2026</c:v>
                        </c:pt>
                        <c:pt idx="14">
                          <c:v>11/Nov/2025</c:v>
                        </c:pt>
                        <c:pt idx="15">
                          <c:v>12/Dec/2025</c:v>
                        </c:pt>
                      </c:lvl>
                      <c:lvl>
                        <c:pt idx="0">
                          <c:v>MBAN32</c:v>
                        </c:pt>
                        <c:pt idx="1">
                          <c:v>MBAN37</c:v>
                        </c:pt>
                        <c:pt idx="2">
                          <c:v>MBAN38</c:v>
                        </c:pt>
                        <c:pt idx="3">
                          <c:v>MBRAC7</c:v>
                        </c:pt>
                        <c:pt idx="4">
                          <c:v>MBAN41</c:v>
                        </c:pt>
                        <c:pt idx="5">
                          <c:v>MRING2</c:v>
                        </c:pt>
                        <c:pt idx="6">
                          <c:v>MRING3</c:v>
                        </c:pt>
                        <c:pt idx="7">
                          <c:v>MBRAC12</c:v>
                        </c:pt>
                        <c:pt idx="8">
                          <c:v>MBRAC14</c:v>
                        </c:pt>
                        <c:pt idx="9">
                          <c:v>MBRAC11</c:v>
                        </c:pt>
                        <c:pt idx="10">
                          <c:v>MPENDAL5</c:v>
                        </c:pt>
                        <c:pt idx="11">
                          <c:v>MPENDAL7</c:v>
                        </c:pt>
                        <c:pt idx="12">
                          <c:v>MRING4</c:v>
                        </c:pt>
                        <c:pt idx="13">
                          <c:v>MRING5</c:v>
                        </c:pt>
                        <c:pt idx="14">
                          <c:v>MRING7</c:v>
                        </c:pt>
                        <c:pt idx="15">
                          <c:v>MRING8</c:v>
                        </c:pt>
                      </c:lvl>
                    </c:multiLvlStrCache>
                  </c:multiLvlStrRef>
                </c:cat>
                <c:val>
                  <c:numRef>
                    <c:extLst xmlns:c15="http://schemas.microsoft.com/office/drawing/2012/chart">
                      <c:ext xmlns:c15="http://schemas.microsoft.com/office/drawing/2012/chart" uri="{02D57815-91ED-43cb-92C2-25804820EDAC}">
                        <c15:formulaRef>
                          <c15:sqref>DASHBOARD!$F$14:$F$29</c15:sqref>
                        </c15:formulaRef>
                      </c:ext>
                    </c:extLst>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xmlns:c15="http://schemas.microsoft.com/office/drawing/2012/chart">
                  <c:ext xmlns:c16="http://schemas.microsoft.com/office/drawing/2014/chart" uri="{C3380CC4-5D6E-409C-BE32-E72D297353CC}">
                    <c16:uniqueId val="{00000002-B26A-458B-8DC4-6DA673008B17}"/>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DASHBOARD!$G$13</c15:sqref>
                        </c15:formulaRef>
                      </c:ext>
                    </c:extLst>
                    <c:strCache>
                      <c:ptCount val="1"/>
                      <c:pt idx="0">
                        <c:v>LABOUR SELL
PRICE (₹)</c:v>
                      </c:pt>
                    </c:strCache>
                  </c:strRef>
                </c:tx>
                <c:spPr>
                  <a:ln w="28575" cap="rnd">
                    <a:solidFill>
                      <a:schemeClr val="accent4"/>
                    </a:solidFill>
                    <a:round/>
                  </a:ln>
                  <a:effectLst/>
                </c:spPr>
                <c:marker>
                  <c:symbol val="none"/>
                </c:marker>
                <c:cat>
                  <c:multiLvlStrRef>
                    <c:extLst xmlns:c15="http://schemas.microsoft.com/office/drawing/2012/chart">
                      <c:ext xmlns:c15="http://schemas.microsoft.com/office/drawing/2012/chart" uri="{02D57815-91ED-43cb-92C2-25804820EDAC}">
                        <c15:formulaRef>
                          <c15:sqref>DASHBOARD!$B$14:$C$29</c15:sqref>
                        </c15:formulaRef>
                      </c:ext>
                    </c:extLst>
                    <c:multiLvlStrCache>
                      <c:ptCount val="16"/>
                      <c:lvl>
                        <c:pt idx="0">
                          <c:v>10/Apr/2025</c:v>
                        </c:pt>
                        <c:pt idx="1">
                          <c:v>22/Sep/2025</c:v>
                        </c:pt>
                        <c:pt idx="2">
                          <c:v>09/Aug/2025</c:v>
                        </c:pt>
                        <c:pt idx="3">
                          <c:v>12/Mar/2026</c:v>
                        </c:pt>
                        <c:pt idx="4">
                          <c:v>01/Sep/2025</c:v>
                        </c:pt>
                        <c:pt idx="5">
                          <c:v>15/Aug/2025</c:v>
                        </c:pt>
                        <c:pt idx="6">
                          <c:v>25/Nov/2025</c:v>
                        </c:pt>
                        <c:pt idx="7">
                          <c:v>26/Dec/2025</c:v>
                        </c:pt>
                        <c:pt idx="8">
                          <c:v>31/Jan/2026</c:v>
                        </c:pt>
                        <c:pt idx="9">
                          <c:v>27/Jan/2026</c:v>
                        </c:pt>
                        <c:pt idx="10">
                          <c:v>07/Nov/2025</c:v>
                        </c:pt>
                        <c:pt idx="11">
                          <c:v>17/Jan/2026</c:v>
                        </c:pt>
                        <c:pt idx="12">
                          <c:v>24/Nov/2025</c:v>
                        </c:pt>
                        <c:pt idx="13">
                          <c:v>28/Jan/2026</c:v>
                        </c:pt>
                        <c:pt idx="14">
                          <c:v>11/Nov/2025</c:v>
                        </c:pt>
                        <c:pt idx="15">
                          <c:v>12/Dec/2025</c:v>
                        </c:pt>
                      </c:lvl>
                      <c:lvl>
                        <c:pt idx="0">
                          <c:v>MBAN32</c:v>
                        </c:pt>
                        <c:pt idx="1">
                          <c:v>MBAN37</c:v>
                        </c:pt>
                        <c:pt idx="2">
                          <c:v>MBAN38</c:v>
                        </c:pt>
                        <c:pt idx="3">
                          <c:v>MBRAC7</c:v>
                        </c:pt>
                        <c:pt idx="4">
                          <c:v>MBAN41</c:v>
                        </c:pt>
                        <c:pt idx="5">
                          <c:v>MRING2</c:v>
                        </c:pt>
                        <c:pt idx="6">
                          <c:v>MRING3</c:v>
                        </c:pt>
                        <c:pt idx="7">
                          <c:v>MBRAC12</c:v>
                        </c:pt>
                        <c:pt idx="8">
                          <c:v>MBRAC14</c:v>
                        </c:pt>
                        <c:pt idx="9">
                          <c:v>MBRAC11</c:v>
                        </c:pt>
                        <c:pt idx="10">
                          <c:v>MPENDAL5</c:v>
                        </c:pt>
                        <c:pt idx="11">
                          <c:v>MPENDAL7</c:v>
                        </c:pt>
                        <c:pt idx="12">
                          <c:v>MRING4</c:v>
                        </c:pt>
                        <c:pt idx="13">
                          <c:v>MRING5</c:v>
                        </c:pt>
                        <c:pt idx="14">
                          <c:v>MRING7</c:v>
                        </c:pt>
                        <c:pt idx="15">
                          <c:v>MRING8</c:v>
                        </c:pt>
                      </c:lvl>
                    </c:multiLvlStrCache>
                  </c:multiLvlStrRef>
                </c:cat>
                <c:val>
                  <c:numRef>
                    <c:extLst xmlns:c15="http://schemas.microsoft.com/office/drawing/2012/chart">
                      <c:ext xmlns:c15="http://schemas.microsoft.com/office/drawing/2012/chart" uri="{02D57815-91ED-43cb-92C2-25804820EDAC}">
                        <c15:formulaRef>
                          <c15:sqref>DASHBOARD!$G$14:$G$29</c15:sqref>
                        </c15:formulaRef>
                      </c:ext>
                    </c:extLst>
                    <c:numCache>
                      <c:formatCode>#,##0</c:formatCode>
                      <c:ptCount val="16"/>
                      <c:pt idx="0">
                        <c:v>442107.20400000003</c:v>
                      </c:pt>
                      <c:pt idx="1">
                        <c:v>268430.94</c:v>
                      </c:pt>
                      <c:pt idx="2">
                        <c:v>273475.56599999999</c:v>
                      </c:pt>
                      <c:pt idx="3">
                        <c:v>52987.995999999999</c:v>
                      </c:pt>
                      <c:pt idx="4">
                        <c:v>453671.41200000001</c:v>
                      </c:pt>
                      <c:pt idx="5">
                        <c:v>50250.399999999994</c:v>
                      </c:pt>
                      <c:pt idx="6">
                        <c:v>39617.315999999999</c:v>
                      </c:pt>
                      <c:pt idx="7">
                        <c:v>321367.24700000003</c:v>
                      </c:pt>
                      <c:pt idx="8">
                        <c:v>450708.56599999999</c:v>
                      </c:pt>
                      <c:pt idx="9">
                        <c:v>462467.7</c:v>
                      </c:pt>
                      <c:pt idx="10">
                        <c:v>11152.252</c:v>
                      </c:pt>
                      <c:pt idx="11">
                        <c:v>27365.974999999999</c:v>
                      </c:pt>
                      <c:pt idx="12">
                        <c:v>24716.396999999997</c:v>
                      </c:pt>
                      <c:pt idx="13">
                        <c:v>19815.005000000001</c:v>
                      </c:pt>
                      <c:pt idx="14">
                        <c:v>37012.57</c:v>
                      </c:pt>
                      <c:pt idx="15">
                        <c:v>54536.748</c:v>
                      </c:pt>
                    </c:numCache>
                  </c:numRef>
                </c:val>
                <c:smooth val="0"/>
                <c:extLst xmlns:c15="http://schemas.microsoft.com/office/drawing/2012/chart">
                  <c:ext xmlns:c16="http://schemas.microsoft.com/office/drawing/2014/chart" uri="{C3380CC4-5D6E-409C-BE32-E72D297353CC}">
                    <c16:uniqueId val="{00000003-B26A-458B-8DC4-6DA673008B17}"/>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DASHBOARD!$K$13</c15:sqref>
                        </c15:formulaRef>
                      </c:ext>
                    </c:extLst>
                    <c:strCache>
                      <c:ptCount val="1"/>
                      <c:pt idx="0">
                        <c:v>SG SHARE (₹)</c:v>
                      </c:pt>
                    </c:strCache>
                  </c:strRef>
                </c:tx>
                <c:spPr>
                  <a:ln w="28575" cap="rnd">
                    <a:solidFill>
                      <a:schemeClr val="accent2">
                        <a:lumMod val="60000"/>
                      </a:schemeClr>
                    </a:solidFill>
                    <a:round/>
                  </a:ln>
                  <a:effectLst/>
                </c:spPr>
                <c:marker>
                  <c:symbol val="none"/>
                </c:marker>
                <c:cat>
                  <c:multiLvlStrRef>
                    <c:extLst xmlns:c15="http://schemas.microsoft.com/office/drawing/2012/chart">
                      <c:ext xmlns:c15="http://schemas.microsoft.com/office/drawing/2012/chart" uri="{02D57815-91ED-43cb-92C2-25804820EDAC}">
                        <c15:formulaRef>
                          <c15:sqref>DASHBOARD!$B$14:$C$29</c15:sqref>
                        </c15:formulaRef>
                      </c:ext>
                    </c:extLst>
                    <c:multiLvlStrCache>
                      <c:ptCount val="16"/>
                      <c:lvl>
                        <c:pt idx="0">
                          <c:v>10/Apr/2025</c:v>
                        </c:pt>
                        <c:pt idx="1">
                          <c:v>22/Sep/2025</c:v>
                        </c:pt>
                        <c:pt idx="2">
                          <c:v>09/Aug/2025</c:v>
                        </c:pt>
                        <c:pt idx="3">
                          <c:v>12/Mar/2026</c:v>
                        </c:pt>
                        <c:pt idx="4">
                          <c:v>01/Sep/2025</c:v>
                        </c:pt>
                        <c:pt idx="5">
                          <c:v>15/Aug/2025</c:v>
                        </c:pt>
                        <c:pt idx="6">
                          <c:v>25/Nov/2025</c:v>
                        </c:pt>
                        <c:pt idx="7">
                          <c:v>26/Dec/2025</c:v>
                        </c:pt>
                        <c:pt idx="8">
                          <c:v>31/Jan/2026</c:v>
                        </c:pt>
                        <c:pt idx="9">
                          <c:v>27/Jan/2026</c:v>
                        </c:pt>
                        <c:pt idx="10">
                          <c:v>07/Nov/2025</c:v>
                        </c:pt>
                        <c:pt idx="11">
                          <c:v>17/Jan/2026</c:v>
                        </c:pt>
                        <c:pt idx="12">
                          <c:v>24/Nov/2025</c:v>
                        </c:pt>
                        <c:pt idx="13">
                          <c:v>28/Jan/2026</c:v>
                        </c:pt>
                        <c:pt idx="14">
                          <c:v>11/Nov/2025</c:v>
                        </c:pt>
                        <c:pt idx="15">
                          <c:v>12/Dec/2025</c:v>
                        </c:pt>
                      </c:lvl>
                      <c:lvl>
                        <c:pt idx="0">
                          <c:v>MBAN32</c:v>
                        </c:pt>
                        <c:pt idx="1">
                          <c:v>MBAN37</c:v>
                        </c:pt>
                        <c:pt idx="2">
                          <c:v>MBAN38</c:v>
                        </c:pt>
                        <c:pt idx="3">
                          <c:v>MBRAC7</c:v>
                        </c:pt>
                        <c:pt idx="4">
                          <c:v>MBAN41</c:v>
                        </c:pt>
                        <c:pt idx="5">
                          <c:v>MRING2</c:v>
                        </c:pt>
                        <c:pt idx="6">
                          <c:v>MRING3</c:v>
                        </c:pt>
                        <c:pt idx="7">
                          <c:v>MBRAC12</c:v>
                        </c:pt>
                        <c:pt idx="8">
                          <c:v>MBRAC14</c:v>
                        </c:pt>
                        <c:pt idx="9">
                          <c:v>MBRAC11</c:v>
                        </c:pt>
                        <c:pt idx="10">
                          <c:v>MPENDAL5</c:v>
                        </c:pt>
                        <c:pt idx="11">
                          <c:v>MPENDAL7</c:v>
                        </c:pt>
                        <c:pt idx="12">
                          <c:v>MRING4</c:v>
                        </c:pt>
                        <c:pt idx="13">
                          <c:v>MRING5</c:v>
                        </c:pt>
                        <c:pt idx="14">
                          <c:v>MRING7</c:v>
                        </c:pt>
                        <c:pt idx="15">
                          <c:v>MRING8</c:v>
                        </c:pt>
                      </c:lvl>
                    </c:multiLvlStrCache>
                  </c:multiLvlStrRef>
                </c:cat>
                <c:val>
                  <c:numRef>
                    <c:extLst xmlns:c15="http://schemas.microsoft.com/office/drawing/2012/chart">
                      <c:ext xmlns:c15="http://schemas.microsoft.com/office/drawing/2012/chart" uri="{02D57815-91ED-43cb-92C2-25804820EDAC}">
                        <c15:formulaRef>
                          <c15:sqref>DASHBOARD!$K$14:$K$29</c15:sqref>
                        </c15:formulaRef>
                      </c:ext>
                    </c:extLst>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xmlns:c15="http://schemas.microsoft.com/office/drawing/2012/chart">
                  <c:ext xmlns:c16="http://schemas.microsoft.com/office/drawing/2014/chart" uri="{C3380CC4-5D6E-409C-BE32-E72D297353CC}">
                    <c16:uniqueId val="{00000007-B26A-458B-8DC4-6DA673008B17}"/>
                  </c:ext>
                </c:extLst>
              </c15:ser>
            </c15:filteredLineSeries>
          </c:ext>
        </c:extLst>
      </c:lineChart>
      <c:catAx>
        <c:axId val="156108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083152"/>
        <c:crosses val="autoZero"/>
        <c:auto val="1"/>
        <c:lblAlgn val="ctr"/>
        <c:lblOffset val="100"/>
        <c:noMultiLvlLbl val="0"/>
      </c:catAx>
      <c:valAx>
        <c:axId val="1561083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082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53340</xdr:colOff>
      <xdr:row>11</xdr:row>
      <xdr:rowOff>171450</xdr:rowOff>
    </xdr:from>
    <xdr:to>
      <xdr:col>26</xdr:col>
      <xdr:colOff>525780</xdr:colOff>
      <xdr:row>26</xdr:row>
      <xdr:rowOff>91440</xdr:rowOff>
    </xdr:to>
    <xdr:graphicFrame macro="">
      <xdr:nvGraphicFramePr>
        <xdr:cNvPr id="2" name="Chart 1">
          <a:extLst>
            <a:ext uri="{FF2B5EF4-FFF2-40B4-BE49-F238E27FC236}">
              <a16:creationId xmlns:a16="http://schemas.microsoft.com/office/drawing/2014/main" id="{4A37DF61-136C-DB3F-0DDF-E8B23CF30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2.556428935182" createdVersion="3" refreshedVersion="6" recordCount="615" xr:uid="{00000000-000A-0000-FFFF-FFFF01000000}">
  <cacheSource type="worksheet">
    <worksheetSource ref="A2:S617" sheet="P&amp;L REPORT 2"/>
  </cacheSource>
  <cacheFields count="19">
    <cacheField name="Sr. No" numFmtId="0">
      <sharedItems containsBlank="1" containsMixedTypes="1" containsNumber="1" containsInteger="1" minValue="1" maxValue="44"/>
    </cacheField>
    <cacheField name="TAG NO" numFmtId="0">
      <sharedItems containsBlank="1" count="46">
        <s v="BAN1842"/>
        <m/>
        <s v="TAG NO"/>
        <s v="BAN1847"/>
        <s v="BAN1846"/>
        <s v="BAN1845"/>
        <s v="BAN1867(MBAN4/MBAN8)"/>
        <s v="BAN1868(MBAN6/MBAN7/MBAN12)"/>
        <s v="BAN1843"/>
        <s v="MBAN1"/>
        <s v="BRAC99440(MBRAC1)"/>
        <s v="COIN 50GM 4 PCS"/>
        <s v="MIX BANGLES 97.110 @ 90%"/>
        <s v="BAN1925"/>
        <s v="BAN1938"/>
        <s v="BAN1939"/>
        <s v="RIN103096"/>
        <s v="RIN103097"/>
        <s v="BAN2025"/>
        <s v="BAN2022"/>
        <s v="BAN2023"/>
        <s v="BRAC99559"/>
        <s v="BRAC99564"/>
        <s v="BRAC99565"/>
        <s v="BAN2017"/>
        <s v="BAN2016"/>
        <s v="BAN2015"/>
        <s v="BRAC99558"/>
        <s v="BRAC99563"/>
        <s v="BRAC99560"/>
        <s v="BAN2024"/>
        <s v="BAN2019"/>
        <s v="BRAC99561"/>
        <s v="BAN2018"/>
        <s v="BRAC99562"/>
        <s v="BALI100437"/>
        <s v="PDL92919"/>
        <s v="PDL92918"/>
        <s v="PDL92917"/>
        <s v="PDL92916"/>
        <s v="PDL92915"/>
        <s v="PDL92920"/>
        <s v="RIN103357"/>
        <s v="RIN103356"/>
        <s v="RIN103355"/>
        <s v="RIN103354"/>
      </sharedItems>
    </cacheField>
    <cacheField name="Actual Sales Date" numFmtId="0">
      <sharedItems containsDate="1" containsBlank="1" containsMixedTypes="1" minDate="1899-12-30T00:00:00" maxDate="2026-11-25T00:00:00"/>
    </cacheField>
    <cacheField name="Purity" numFmtId="0">
      <sharedItems containsBlank="1"/>
    </cacheField>
    <cacheField name="MS design Sold" numFmtId="0">
      <sharedItems containsBlank="1" containsMixedTypes="1" containsNumber="1" minValue="0" maxValue="46.893000000000001"/>
    </cacheField>
    <cacheField name="New Stk Introduce on" numFmtId="0">
      <sharedItems containsDate="1" containsBlank="1" containsMixedTypes="1" minDate="1899-12-30T00:00:00" maxDate="2026-12-02T00:00:00"/>
    </cacheField>
    <cacheField name="New SG Design Introduced" numFmtId="0">
      <sharedItems containsBlank="1" containsMixedTypes="1" containsNumber="1" minValue="0" maxValue="47.765999999999998"/>
    </cacheField>
    <cacheField name="Sales PM" numFmtId="0">
      <sharedItems containsBlank="1" containsMixedTypes="1" containsNumber="1" minValue="0" maxValue="3.3439999999999999"/>
    </cacheField>
    <cacheField name="Gold Rate _x000a_24K" numFmtId="0">
      <sharedItems containsBlank="1" containsMixedTypes="1" containsNumber="1" containsInteger="1" minValue="0" maxValue="17200"/>
    </cacheField>
    <cacheField name="Purity2" numFmtId="0">
      <sharedItems containsBlank="1" containsMixedTypes="1" containsNumber="1" containsInteger="1" minValue="22" maxValue="22"/>
    </cacheField>
    <cacheField name="Labour cost Price" numFmtId="0">
      <sharedItems containsBlank="1" containsMixedTypes="1" containsNumber="1" minValue="0" maxValue="3.2440000000000002"/>
    </cacheField>
    <cacheField name="Labour Cost Charged" numFmtId="0">
      <sharedItems containsBlank="1" containsMixedTypes="1" containsNumber="1" minValue="0" maxValue="2873.0879999999938"/>
    </cacheField>
    <cacheField name="Labour Sell Price" numFmtId="0">
      <sharedItems containsBlank="1" containsMixedTypes="1" containsNumber="1" minValue="0" maxValue="52820.51"/>
    </cacheField>
    <cacheField name="Labour Profit Charged" numFmtId="0">
      <sharedItems containsBlank="1" containsMixedTypes="1" containsNumber="1" minValue="0" maxValue="5810.26"/>
    </cacheField>
    <cacheField name="Labour Sharable Profit" numFmtId="0">
      <sharedItems containsBlank="1" containsMixedTypes="1" containsNumber="1" minValue="0" maxValue="2937.1720000000064"/>
    </cacheField>
    <cacheField name="Operating Cost _x000a_15%" numFmtId="0">
      <sharedItems containsBlank="1" containsMixedTypes="1" containsNumber="1" minValue="0" maxValue="440.58"/>
    </cacheField>
    <cacheField name="MS Share" numFmtId="0">
      <sharedItems containsBlank="1" containsMixedTypes="1" containsNumber="1" minValue="0" maxValue="1497.96"/>
    </cacheField>
    <cacheField name="SG Share" numFmtId="0">
      <sharedItems containsBlank="1" containsMixedTypes="1" containsNumber="1" minValue="0" maxValue="998.64"/>
    </cacheField>
    <cacheField name="MS Profit in Gold" numFmtId="0">
      <sharedItems containsBlank="1" containsMixedTypes="1" containsNumber="1" minValue="0" maxValue="0.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5">
  <r>
    <n v="1"/>
    <x v="0"/>
    <d v="1899-12-30T00:00:00"/>
    <s v="Batch 1"/>
    <n v="0"/>
    <d v="1900-01-31T00:00:00"/>
    <n v="0"/>
    <n v="0"/>
    <n v="0"/>
    <n v="22"/>
    <n v="0"/>
    <n v="0"/>
    <n v="0"/>
    <n v="0"/>
    <n v="0"/>
    <n v="0"/>
    <n v="0"/>
    <n v="0"/>
    <n v="0"/>
  </r>
  <r>
    <m/>
    <x v="0"/>
    <m/>
    <m/>
    <m/>
    <d v="1900-03-01T00:00:00"/>
    <n v="0"/>
    <n v="0"/>
    <n v="0"/>
    <n v="22"/>
    <n v="0"/>
    <n v="0"/>
    <n v="0"/>
    <n v="0"/>
    <n v="0"/>
    <n v="0"/>
    <n v="0"/>
    <n v="0"/>
    <n v="0"/>
  </r>
  <r>
    <m/>
    <x v="0"/>
    <m/>
    <m/>
    <m/>
    <d v="1900-04-01T00:00:00"/>
    <n v="0"/>
    <n v="0"/>
    <n v="0"/>
    <n v="22"/>
    <n v="0"/>
    <n v="0"/>
    <n v="0"/>
    <n v="0"/>
    <n v="0"/>
    <n v="0"/>
    <n v="0"/>
    <n v="0"/>
    <n v="0"/>
  </r>
  <r>
    <m/>
    <x v="0"/>
    <m/>
    <m/>
    <m/>
    <d v="1900-05-01T00:00:00"/>
    <n v="0"/>
    <n v="0"/>
    <n v="0"/>
    <n v="22"/>
    <n v="0"/>
    <n v="0"/>
    <n v="0"/>
    <n v="0"/>
    <n v="0"/>
    <n v="0"/>
    <n v="0"/>
    <n v="0"/>
    <n v="0"/>
  </r>
  <r>
    <m/>
    <x v="0"/>
    <m/>
    <m/>
    <m/>
    <d v="1900-06-01T00:00:00"/>
    <n v="0"/>
    <n v="0"/>
    <n v="0"/>
    <n v="22"/>
    <n v="0"/>
    <n v="0"/>
    <n v="0"/>
    <n v="0"/>
    <n v="0"/>
    <n v="0"/>
    <n v="0"/>
    <n v="0"/>
    <n v="0"/>
  </r>
  <r>
    <m/>
    <x v="0"/>
    <m/>
    <m/>
    <m/>
    <d v="1900-07-01T00:00:00"/>
    <n v="0"/>
    <n v="0"/>
    <n v="0"/>
    <n v="22"/>
    <n v="0"/>
    <n v="0"/>
    <n v="0"/>
    <n v="0"/>
    <n v="0"/>
    <n v="0"/>
    <n v="0"/>
    <n v="0"/>
    <n v="0"/>
  </r>
  <r>
    <m/>
    <x v="0"/>
    <m/>
    <m/>
    <m/>
    <d v="1900-08-01T00:00:00"/>
    <n v="0"/>
    <n v="0"/>
    <n v="0"/>
    <n v="22"/>
    <n v="0"/>
    <n v="0"/>
    <n v="0"/>
    <n v="0"/>
    <n v="0"/>
    <n v="0"/>
    <n v="0"/>
    <n v="0"/>
    <n v="0"/>
  </r>
  <r>
    <m/>
    <x v="0"/>
    <m/>
    <m/>
    <m/>
    <d v="1900-09-01T00:00:00"/>
    <n v="0"/>
    <n v="0"/>
    <n v="0"/>
    <n v="22"/>
    <n v="0"/>
    <n v="0"/>
    <n v="0"/>
    <n v="0"/>
    <n v="0"/>
    <n v="0"/>
    <n v="0"/>
    <n v="0"/>
    <n v="0"/>
  </r>
  <r>
    <m/>
    <x v="0"/>
    <m/>
    <m/>
    <m/>
    <d v="1900-10-01T00:00:00"/>
    <n v="0"/>
    <n v="0"/>
    <n v="0"/>
    <n v="22"/>
    <n v="0"/>
    <n v="0"/>
    <n v="0"/>
    <n v="0"/>
    <n v="0"/>
    <n v="0"/>
    <n v="0"/>
    <n v="0"/>
    <n v="0"/>
  </r>
  <r>
    <m/>
    <x v="0"/>
    <m/>
    <m/>
    <m/>
    <d v="1900-11-01T00:00:00"/>
    <n v="0"/>
    <n v="0"/>
    <n v="0"/>
    <n v="22"/>
    <n v="0"/>
    <n v="0"/>
    <n v="0"/>
    <n v="0"/>
    <n v="0"/>
    <n v="0"/>
    <n v="0"/>
    <n v="0"/>
    <n v="0"/>
  </r>
  <r>
    <m/>
    <x v="0"/>
    <m/>
    <m/>
    <m/>
    <d v="1900-12-01T00:00:00"/>
    <n v="0"/>
    <n v="0"/>
    <n v="0"/>
    <n v="22"/>
    <n v="0"/>
    <n v="0"/>
    <n v="0"/>
    <n v="0"/>
    <n v="0"/>
    <n v="0"/>
    <n v="0"/>
    <n v="0"/>
    <n v="0"/>
  </r>
  <r>
    <m/>
    <x v="0"/>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
    <x v="3"/>
    <d v="2025-04-10T00:00:00"/>
    <s v="Batch 1"/>
    <n v="46.893000000000001"/>
    <d v="2025-05-01T00:00:00"/>
    <n v="46.893000000000001"/>
    <n v="3.2829999999999999"/>
    <n v="9953"/>
    <n v="22"/>
    <n v="3.1850000000000001"/>
    <n v="1638.6619199999989"/>
    <n v="30061.64"/>
    <n v="3306.78"/>
    <n v="1668.1180800000013"/>
    <n v="250.22"/>
    <n v="850.74"/>
    <n v="567.16"/>
    <n v="7.9000000000000001E-2"/>
  </r>
  <r>
    <m/>
    <x v="3"/>
    <m/>
    <m/>
    <m/>
    <d v="2025-06-01T00:00:00"/>
    <n v="46.972000000000001"/>
    <n v="3.2879999999999998"/>
    <n v="9966"/>
    <n v="22"/>
    <n v="3.1890000000000001"/>
    <n v="1634.8226399999996"/>
    <n v="30146.75"/>
    <n v="3316.14"/>
    <n v="1681.3173600000002"/>
    <n v="252.2"/>
    <n v="857.47"/>
    <n v="571.65"/>
    <n v="7.9000000000000001E-2"/>
  </r>
  <r>
    <m/>
    <x v="3"/>
    <m/>
    <m/>
    <m/>
    <d v="2025-07-01T00:00:00"/>
    <n v="47.051000000000002"/>
    <n v="3.294"/>
    <n v="10008"/>
    <n v="22"/>
    <n v="3.1949999999999998"/>
    <n v="1646.5161599999956"/>
    <n v="30329.040000000001"/>
    <n v="3336.19"/>
    <n v="1689.6738400000045"/>
    <n v="253.45"/>
    <n v="861.73"/>
    <n v="574.49"/>
    <n v="7.9000000000000001E-2"/>
  </r>
  <r>
    <m/>
    <x v="3"/>
    <m/>
    <m/>
    <m/>
    <d v="2025-08-01T00:00:00"/>
    <n v="47.13"/>
    <n v="3.2989999999999999"/>
    <n v="10280"/>
    <n v="22"/>
    <n v="3.2"/>
    <n v="1695.3775999999996"/>
    <n v="31200.62"/>
    <n v="3432.07"/>
    <n v="1736.6924000000006"/>
    <n v="260.5"/>
    <n v="885.72"/>
    <n v="590.48"/>
    <n v="7.9000000000000001E-2"/>
  </r>
  <r>
    <m/>
    <x v="3"/>
    <m/>
    <m/>
    <m/>
    <d v="2025-09-01T00:00:00"/>
    <n v="47.209000000000003"/>
    <n v="3.3050000000000002"/>
    <n v="10929"/>
    <n v="22"/>
    <n v="3.206"/>
    <n v="1807.656599999995"/>
    <n v="33230.720000000001"/>
    <n v="3655.38"/>
    <n v="1847.7234000000051"/>
    <n v="277.16000000000003"/>
    <n v="942.34"/>
    <n v="628.23"/>
    <n v="7.9000000000000001E-2"/>
  </r>
  <r>
    <m/>
    <x v="3"/>
    <m/>
    <m/>
    <m/>
    <d v="2025-10-01T00:00:00"/>
    <n v="47.287999999999997"/>
    <n v="3.31"/>
    <n v="12115"/>
    <n v="22"/>
    <n v="3.2109999999999999"/>
    <n v="2008.666999999994"/>
    <n v="36892.6"/>
    <n v="4058.19"/>
    <n v="2049.523000000006"/>
    <n v="307.43"/>
    <n v="1045.26"/>
    <n v="696.84"/>
    <n v="7.9000000000000001E-2"/>
  </r>
  <r>
    <m/>
    <x v="3"/>
    <m/>
    <m/>
    <m/>
    <d v="2025-11-01T00:00:00"/>
    <n v="47.366999999999997"/>
    <n v="3.3159999999999998"/>
    <n v="12490"/>
    <n v="22"/>
    <n v="3.2170000000000001"/>
    <n v="2076.8371999999999"/>
    <n v="38103.49"/>
    <n v="4191.38"/>
    <n v="2114.5428000000002"/>
    <n v="317.18"/>
    <n v="1078.42"/>
    <n v="718.95"/>
    <n v="7.9000000000000001E-2"/>
  </r>
  <r>
    <m/>
    <x v="3"/>
    <m/>
    <m/>
    <m/>
    <d v="2025-12-01T00:00:00"/>
    <n v="47.445999999999998"/>
    <n v="3.3210000000000002"/>
    <n v="13220"/>
    <n v="22"/>
    <n v="3.2210000000000001"/>
    <n v="2190.2895999999946"/>
    <n v="40391.33"/>
    <n v="4443.05"/>
    <n v="2252.7604000000056"/>
    <n v="337.91"/>
    <n v="1148.9100000000001"/>
    <n v="765.94"/>
    <n v="0.08"/>
  </r>
  <r>
    <m/>
    <x v="3"/>
    <m/>
    <m/>
    <m/>
    <d v="2026-01-01T00:00:00"/>
    <n v="47.526000000000003"/>
    <n v="3.327"/>
    <n v="13790"/>
    <n v="22"/>
    <n v="3.2269999999999999"/>
    <n v="2291.3463999999949"/>
    <n v="42208.98"/>
    <n v="4642.99"/>
    <n v="2351.6436000000049"/>
    <n v="352.75"/>
    <n v="1199.3399999999999"/>
    <n v="799.56"/>
    <n v="0.08"/>
  </r>
  <r>
    <m/>
    <x v="3"/>
    <m/>
    <m/>
    <m/>
    <d v="2026-02-01T00:00:00"/>
    <n v="47.606000000000002"/>
    <n v="3.3319999999999999"/>
    <n v="15760"/>
    <n v="22"/>
    <n v="3.2320000000000002"/>
    <n v="2624.9856000000004"/>
    <n v="48311.33"/>
    <n v="5314.25"/>
    <n v="2689.2643999999996"/>
    <n v="403.39"/>
    <n v="1371.52"/>
    <n v="914.35"/>
    <n v="0.08"/>
  </r>
  <r>
    <m/>
    <x v="3"/>
    <m/>
    <m/>
    <m/>
    <d v="2026-03-01T00:00:00"/>
    <n v="47.686"/>
    <n v="3.3380000000000001"/>
    <n v="17200"/>
    <n v="22"/>
    <n v="3.238"/>
    <n v="2873.0879999999938"/>
    <n v="52820.51"/>
    <n v="5810.26"/>
    <n v="2937.1720000000064"/>
    <n v="440.58"/>
    <n v="1497.96"/>
    <n v="998.64"/>
    <n v="0.08"/>
  </r>
  <r>
    <m/>
    <x v="3"/>
    <m/>
    <m/>
    <m/>
    <d v="2026-04-01T00:00:00"/>
    <n v="47.765999999999998"/>
    <n v="3.3439999999999999"/>
    <n v="15450"/>
    <n v="22"/>
    <n v="3.2440000000000002"/>
    <n v="2588.1840000000016"/>
    <n v="47531.62"/>
    <n v="5228.4799999999996"/>
    <n v="2640.295999999998"/>
    <n v="396.04"/>
    <n v="1346.55"/>
    <n v="897.7"/>
    <n v="0.08"/>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
    <x v="4"/>
    <d v="1899-12-30T00:00:00"/>
    <s v="Batch 1"/>
    <n v="0"/>
    <d v="1900-01-31T00:00:00"/>
    <n v="0"/>
    <n v="0"/>
    <n v="0"/>
    <n v="22"/>
    <n v="0"/>
    <n v="0"/>
    <n v="0"/>
    <n v="0"/>
    <n v="0"/>
    <n v="0"/>
    <n v="0"/>
    <n v="0"/>
    <n v="0"/>
  </r>
  <r>
    <m/>
    <x v="4"/>
    <m/>
    <m/>
    <m/>
    <d v="1900-03-01T00:00:00"/>
    <n v="0"/>
    <n v="0"/>
    <n v="0"/>
    <n v="22"/>
    <n v="0"/>
    <n v="0"/>
    <n v="0"/>
    <n v="0"/>
    <n v="0"/>
    <n v="0"/>
    <n v="0"/>
    <n v="0"/>
    <n v="0"/>
  </r>
  <r>
    <m/>
    <x v="4"/>
    <m/>
    <m/>
    <m/>
    <d v="1900-04-01T00:00:00"/>
    <n v="0"/>
    <n v="0"/>
    <n v="0"/>
    <n v="22"/>
    <n v="0"/>
    <n v="0"/>
    <n v="0"/>
    <n v="0"/>
    <n v="0"/>
    <n v="0"/>
    <n v="0"/>
    <n v="0"/>
    <n v="0"/>
  </r>
  <r>
    <m/>
    <x v="4"/>
    <m/>
    <m/>
    <m/>
    <d v="1900-05-01T00:00:00"/>
    <n v="0"/>
    <n v="0"/>
    <n v="0"/>
    <n v="22"/>
    <n v="0"/>
    <n v="0"/>
    <n v="0"/>
    <n v="0"/>
    <n v="0"/>
    <n v="0"/>
    <n v="0"/>
    <n v="0"/>
    <n v="0"/>
  </r>
  <r>
    <m/>
    <x v="4"/>
    <m/>
    <m/>
    <m/>
    <d v="1900-06-01T00:00:00"/>
    <n v="0"/>
    <n v="0"/>
    <n v="0"/>
    <n v="22"/>
    <n v="0"/>
    <n v="0"/>
    <n v="0"/>
    <n v="0"/>
    <n v="0"/>
    <n v="0"/>
    <n v="0"/>
    <n v="0"/>
    <n v="0"/>
  </r>
  <r>
    <m/>
    <x v="4"/>
    <m/>
    <m/>
    <m/>
    <d v="1900-07-01T00:00:00"/>
    <n v="0"/>
    <n v="0"/>
    <n v="0"/>
    <n v="22"/>
    <n v="0"/>
    <n v="0"/>
    <n v="0"/>
    <n v="0"/>
    <n v="0"/>
    <n v="0"/>
    <n v="0"/>
    <n v="0"/>
    <n v="0"/>
  </r>
  <r>
    <m/>
    <x v="4"/>
    <m/>
    <m/>
    <m/>
    <d v="1900-08-01T00:00:00"/>
    <n v="0"/>
    <n v="0"/>
    <n v="0"/>
    <n v="22"/>
    <n v="0"/>
    <n v="0"/>
    <n v="0"/>
    <n v="0"/>
    <n v="0"/>
    <n v="0"/>
    <n v="0"/>
    <n v="0"/>
    <n v="0"/>
  </r>
  <r>
    <m/>
    <x v="4"/>
    <m/>
    <m/>
    <m/>
    <d v="1900-09-01T00:00:00"/>
    <n v="0"/>
    <n v="0"/>
    <n v="0"/>
    <n v="22"/>
    <n v="0"/>
    <n v="0"/>
    <n v="0"/>
    <n v="0"/>
    <n v="0"/>
    <n v="0"/>
    <n v="0"/>
    <n v="0"/>
    <n v="0"/>
  </r>
  <r>
    <m/>
    <x v="4"/>
    <m/>
    <m/>
    <m/>
    <d v="1900-10-01T00:00:00"/>
    <n v="0"/>
    <n v="0"/>
    <n v="0"/>
    <n v="22"/>
    <n v="0"/>
    <n v="0"/>
    <n v="0"/>
    <n v="0"/>
    <n v="0"/>
    <n v="0"/>
    <n v="0"/>
    <n v="0"/>
    <n v="0"/>
  </r>
  <r>
    <m/>
    <x v="4"/>
    <m/>
    <m/>
    <m/>
    <d v="1900-11-01T00:00:00"/>
    <n v="0"/>
    <n v="0"/>
    <n v="0"/>
    <n v="22"/>
    <n v="0"/>
    <n v="0"/>
    <n v="0"/>
    <n v="0"/>
    <n v="0"/>
    <n v="0"/>
    <n v="0"/>
    <n v="0"/>
    <n v="0"/>
  </r>
  <r>
    <m/>
    <x v="4"/>
    <m/>
    <m/>
    <m/>
    <d v="1900-12-01T00:00:00"/>
    <n v="0"/>
    <n v="0"/>
    <n v="0"/>
    <n v="22"/>
    <n v="0"/>
    <n v="0"/>
    <n v="0"/>
    <n v="0"/>
    <n v="0"/>
    <n v="0"/>
    <n v="0"/>
    <n v="0"/>
    <n v="0"/>
  </r>
  <r>
    <m/>
    <x v="4"/>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4"/>
    <x v="5"/>
    <d v="1899-12-30T00:00:00"/>
    <s v="Batch 1"/>
    <n v="0"/>
    <d v="1900-01-31T00:00:00"/>
    <n v="0"/>
    <n v="0"/>
    <n v="0"/>
    <n v="22"/>
    <n v="0"/>
    <n v="0"/>
    <n v="0"/>
    <n v="0"/>
    <n v="0"/>
    <n v="0"/>
    <n v="0"/>
    <n v="0"/>
    <n v="0"/>
  </r>
  <r>
    <m/>
    <x v="5"/>
    <m/>
    <m/>
    <m/>
    <d v="1900-03-01T00:00:00"/>
    <n v="0"/>
    <n v="0"/>
    <n v="0"/>
    <n v="22"/>
    <n v="0"/>
    <n v="0"/>
    <n v="0"/>
    <n v="0"/>
    <n v="0"/>
    <n v="0"/>
    <n v="0"/>
    <n v="0"/>
    <n v="0"/>
  </r>
  <r>
    <m/>
    <x v="5"/>
    <m/>
    <m/>
    <m/>
    <d v="1900-04-01T00:00:00"/>
    <n v="0"/>
    <n v="0"/>
    <n v="0"/>
    <n v="22"/>
    <n v="0"/>
    <n v="0"/>
    <n v="0"/>
    <n v="0"/>
    <n v="0"/>
    <n v="0"/>
    <n v="0"/>
    <n v="0"/>
    <n v="0"/>
  </r>
  <r>
    <m/>
    <x v="5"/>
    <m/>
    <m/>
    <m/>
    <d v="1900-05-01T00:00:00"/>
    <n v="0"/>
    <n v="0"/>
    <n v="0"/>
    <n v="22"/>
    <n v="0"/>
    <n v="0"/>
    <n v="0"/>
    <n v="0"/>
    <n v="0"/>
    <n v="0"/>
    <n v="0"/>
    <n v="0"/>
    <n v="0"/>
  </r>
  <r>
    <m/>
    <x v="5"/>
    <m/>
    <m/>
    <m/>
    <d v="1900-06-01T00:00:00"/>
    <n v="0"/>
    <n v="0"/>
    <n v="0"/>
    <n v="22"/>
    <n v="0"/>
    <n v="0"/>
    <n v="0"/>
    <n v="0"/>
    <n v="0"/>
    <n v="0"/>
    <n v="0"/>
    <n v="0"/>
    <n v="0"/>
  </r>
  <r>
    <m/>
    <x v="5"/>
    <m/>
    <m/>
    <m/>
    <d v="1900-07-01T00:00:00"/>
    <n v="0"/>
    <n v="0"/>
    <n v="0"/>
    <n v="22"/>
    <n v="0"/>
    <n v="0"/>
    <n v="0"/>
    <n v="0"/>
    <n v="0"/>
    <n v="0"/>
    <n v="0"/>
    <n v="0"/>
    <n v="0"/>
  </r>
  <r>
    <m/>
    <x v="5"/>
    <m/>
    <m/>
    <m/>
    <d v="1900-08-01T00:00:00"/>
    <n v="0"/>
    <n v="0"/>
    <n v="0"/>
    <n v="22"/>
    <n v="0"/>
    <n v="0"/>
    <n v="0"/>
    <n v="0"/>
    <n v="0"/>
    <n v="0"/>
    <n v="0"/>
    <n v="0"/>
    <n v="0"/>
  </r>
  <r>
    <m/>
    <x v="5"/>
    <m/>
    <m/>
    <m/>
    <d v="1900-09-01T00:00:00"/>
    <n v="0"/>
    <n v="0"/>
    <n v="0"/>
    <n v="22"/>
    <n v="0"/>
    <n v="0"/>
    <n v="0"/>
    <n v="0"/>
    <n v="0"/>
    <n v="0"/>
    <n v="0"/>
    <n v="0"/>
    <n v="0"/>
  </r>
  <r>
    <m/>
    <x v="5"/>
    <m/>
    <m/>
    <m/>
    <d v="1900-10-01T00:00:00"/>
    <n v="0"/>
    <n v="0"/>
    <n v="0"/>
    <n v="22"/>
    <n v="0"/>
    <n v="0"/>
    <n v="0"/>
    <n v="0"/>
    <n v="0"/>
    <n v="0"/>
    <n v="0"/>
    <n v="0"/>
    <n v="0"/>
  </r>
  <r>
    <m/>
    <x v="5"/>
    <m/>
    <m/>
    <m/>
    <d v="1900-11-01T00:00:00"/>
    <n v="0"/>
    <n v="0"/>
    <n v="0"/>
    <n v="22"/>
    <n v="0"/>
    <n v="0"/>
    <n v="0"/>
    <n v="0"/>
    <n v="0"/>
    <n v="0"/>
    <n v="0"/>
    <n v="0"/>
    <n v="0"/>
  </r>
  <r>
    <m/>
    <x v="5"/>
    <m/>
    <m/>
    <m/>
    <d v="1900-12-01T00:00:00"/>
    <n v="0"/>
    <n v="0"/>
    <n v="0"/>
    <n v="22"/>
    <n v="0"/>
    <n v="0"/>
    <n v="0"/>
    <n v="0"/>
    <n v="0"/>
    <n v="0"/>
    <n v="0"/>
    <n v="0"/>
    <n v="0"/>
  </r>
  <r>
    <m/>
    <x v="5"/>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5"/>
    <x v="6"/>
    <d v="1899-12-30T00:00:00"/>
    <s v="Batch 1"/>
    <n v="0"/>
    <d v="1900-01-31T00:00:00"/>
    <n v="0"/>
    <n v="0"/>
    <n v="0"/>
    <n v="22"/>
    <n v="0"/>
    <n v="0"/>
    <n v="0"/>
    <n v="0"/>
    <n v="0"/>
    <n v="0"/>
    <n v="0"/>
    <n v="0"/>
    <n v="0"/>
  </r>
  <r>
    <m/>
    <x v="6"/>
    <m/>
    <m/>
    <m/>
    <d v="1900-03-01T00:00:00"/>
    <n v="0"/>
    <n v="0"/>
    <n v="0"/>
    <n v="22"/>
    <n v="0"/>
    <n v="0"/>
    <n v="0"/>
    <n v="0"/>
    <n v="0"/>
    <n v="0"/>
    <n v="0"/>
    <n v="0"/>
    <n v="0"/>
  </r>
  <r>
    <m/>
    <x v="6"/>
    <m/>
    <m/>
    <m/>
    <d v="1900-04-01T00:00:00"/>
    <n v="0"/>
    <n v="0"/>
    <n v="0"/>
    <n v="22"/>
    <n v="0"/>
    <n v="0"/>
    <n v="0"/>
    <n v="0"/>
    <n v="0"/>
    <n v="0"/>
    <n v="0"/>
    <n v="0"/>
    <n v="0"/>
  </r>
  <r>
    <m/>
    <x v="6"/>
    <m/>
    <m/>
    <m/>
    <d v="1900-05-01T00:00:00"/>
    <n v="0"/>
    <n v="0"/>
    <n v="0"/>
    <n v="22"/>
    <n v="0"/>
    <n v="0"/>
    <n v="0"/>
    <n v="0"/>
    <n v="0"/>
    <n v="0"/>
    <n v="0"/>
    <n v="0"/>
    <n v="0"/>
  </r>
  <r>
    <m/>
    <x v="6"/>
    <m/>
    <m/>
    <m/>
    <d v="1900-06-01T00:00:00"/>
    <n v="0"/>
    <n v="0"/>
    <n v="0"/>
    <n v="22"/>
    <n v="0"/>
    <n v="0"/>
    <n v="0"/>
    <n v="0"/>
    <n v="0"/>
    <n v="0"/>
    <n v="0"/>
    <n v="0"/>
    <n v="0"/>
  </r>
  <r>
    <m/>
    <x v="6"/>
    <m/>
    <m/>
    <m/>
    <d v="1900-07-01T00:00:00"/>
    <n v="0"/>
    <n v="0"/>
    <n v="0"/>
    <n v="22"/>
    <n v="0"/>
    <n v="0"/>
    <n v="0"/>
    <n v="0"/>
    <n v="0"/>
    <n v="0"/>
    <n v="0"/>
    <n v="0"/>
    <n v="0"/>
  </r>
  <r>
    <m/>
    <x v="6"/>
    <m/>
    <m/>
    <m/>
    <d v="1900-08-01T00:00:00"/>
    <n v="0"/>
    <n v="0"/>
    <n v="0"/>
    <n v="22"/>
    <n v="0"/>
    <n v="0"/>
    <n v="0"/>
    <n v="0"/>
    <n v="0"/>
    <n v="0"/>
    <n v="0"/>
    <n v="0"/>
    <n v="0"/>
  </r>
  <r>
    <m/>
    <x v="6"/>
    <m/>
    <m/>
    <m/>
    <d v="1900-09-01T00:00:00"/>
    <n v="0"/>
    <n v="0"/>
    <n v="0"/>
    <n v="22"/>
    <n v="0"/>
    <n v="0"/>
    <n v="0"/>
    <n v="0"/>
    <n v="0"/>
    <n v="0"/>
    <n v="0"/>
    <n v="0"/>
    <n v="0"/>
  </r>
  <r>
    <m/>
    <x v="6"/>
    <m/>
    <m/>
    <m/>
    <d v="1900-10-01T00:00:00"/>
    <n v="0"/>
    <n v="0"/>
    <n v="0"/>
    <n v="22"/>
    <n v="0"/>
    <n v="0"/>
    <n v="0"/>
    <n v="0"/>
    <n v="0"/>
    <n v="0"/>
    <n v="0"/>
    <n v="0"/>
    <n v="0"/>
  </r>
  <r>
    <m/>
    <x v="6"/>
    <m/>
    <m/>
    <m/>
    <d v="1900-11-01T00:00:00"/>
    <n v="0"/>
    <n v="0"/>
    <n v="0"/>
    <n v="22"/>
    <n v="0"/>
    <n v="0"/>
    <n v="0"/>
    <n v="0"/>
    <n v="0"/>
    <n v="0"/>
    <n v="0"/>
    <n v="0"/>
    <n v="0"/>
  </r>
  <r>
    <m/>
    <x v="6"/>
    <m/>
    <m/>
    <m/>
    <d v="1900-12-01T00:00:00"/>
    <n v="0"/>
    <n v="0"/>
    <n v="0"/>
    <n v="22"/>
    <n v="0"/>
    <n v="0"/>
    <n v="0"/>
    <n v="0"/>
    <n v="0"/>
    <n v="0"/>
    <n v="0"/>
    <n v="0"/>
    <n v="0"/>
  </r>
  <r>
    <m/>
    <x v="6"/>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6"/>
    <x v="7"/>
    <d v="2025-09-22T00:00:00"/>
    <s v="Batch 1"/>
    <n v="26.34"/>
    <d v="2025-10-01T00:00:00"/>
    <n v="26.34"/>
    <n v="1.8440000000000001"/>
    <n v="12115"/>
    <n v="22"/>
    <n v="1.7889999999999999"/>
    <n v="1120.8797999999965"/>
    <n v="20552.86"/>
    <n v="2260.81"/>
    <n v="1139.9302000000034"/>
    <n v="170.99"/>
    <n v="581.36"/>
    <n v="387.58"/>
    <n v="4.3999999999999997E-2"/>
  </r>
  <r>
    <m/>
    <x v="7"/>
    <m/>
    <m/>
    <m/>
    <d v="2025-11-01T00:00:00"/>
    <n v="26.384"/>
    <n v="1.847"/>
    <n v="12490"/>
    <n v="22"/>
    <n v="1.792"/>
    <n v="1158.5723999999993"/>
    <n v="21223.51"/>
    <n v="2334.59"/>
    <n v="1176.0176000000008"/>
    <n v="176.4"/>
    <n v="599.77"/>
    <n v="399.85"/>
    <n v="4.3999999999999997E-2"/>
  </r>
  <r>
    <m/>
    <x v="7"/>
    <m/>
    <m/>
    <m/>
    <d v="2025-12-01T00:00:00"/>
    <n v="26.428000000000001"/>
    <n v="1.85"/>
    <n v="13220"/>
    <n v="22"/>
    <n v="1.7949999999999999"/>
    <n v="1229.4599999999966"/>
    <n v="22500.44"/>
    <n v="2475.0500000000002"/>
    <n v="1245.5900000000036"/>
    <n v="186.84"/>
    <n v="635.25"/>
    <n v="423.5"/>
    <n v="4.3999999999999997E-2"/>
  </r>
  <r>
    <m/>
    <x v="7"/>
    <m/>
    <m/>
    <m/>
    <d v="2026-01-01T00:00:00"/>
    <n v="26.472000000000001"/>
    <n v="1.853"/>
    <n v="13790"/>
    <n v="22"/>
    <n v="1.7969999999999999"/>
    <n v="1271.9895999999983"/>
    <n v="23508.639999999999"/>
    <n v="2585.9499999999998"/>
    <n v="1313.9604000000015"/>
    <n v="197.09"/>
    <n v="670.12"/>
    <n v="446.75"/>
    <n v="4.4999999999999998E-2"/>
  </r>
  <r>
    <m/>
    <x v="7"/>
    <m/>
    <m/>
    <m/>
    <d v="2026-02-01T00:00:00"/>
    <n v="26.516999999999999"/>
    <n v="1.8560000000000001"/>
    <n v="15760"/>
    <n v="22"/>
    <n v="1.8"/>
    <n v="1457.4847999999984"/>
    <n v="26910.52"/>
    <n v="2960.16"/>
    <n v="1502.6752000000015"/>
    <n v="225.4"/>
    <n v="766.37"/>
    <n v="510.91"/>
    <n v="4.4999999999999998E-2"/>
  </r>
  <r>
    <m/>
    <x v="7"/>
    <m/>
    <m/>
    <m/>
    <d v="2026-03-01T00:00:00"/>
    <n v="26.562000000000001"/>
    <n v="1.859"/>
    <n v="17200"/>
    <n v="22"/>
    <n v="1.8029999999999999"/>
    <n v="1594.7839999999985"/>
    <n v="29416.82"/>
    <n v="3235.85"/>
    <n v="1641.0660000000014"/>
    <n v="246.16"/>
    <n v="836.94"/>
    <n v="557.96"/>
    <n v="4.4999999999999998E-2"/>
  </r>
  <r>
    <m/>
    <x v="7"/>
    <m/>
    <m/>
    <m/>
    <d v="2026-04-01T00:00:00"/>
    <n v="26.606999999999999"/>
    <n v="1.8620000000000001"/>
    <n v="15450"/>
    <n v="22"/>
    <n v="1.806"/>
    <n v="1436.2319999999988"/>
    <n v="26466.47"/>
    <n v="2911.31"/>
    <n v="1475.0780000000011"/>
    <n v="221.26"/>
    <n v="752.29"/>
    <n v="501.53"/>
    <n v="4.4999999999999998E-2"/>
  </r>
  <r>
    <m/>
    <x v="7"/>
    <m/>
    <m/>
    <m/>
    <d v="1899-12-30T00:00:00"/>
    <n v="0"/>
    <n v="0"/>
    <n v="0"/>
    <n v="22"/>
    <n v="0"/>
    <n v="0"/>
    <n v="0"/>
    <n v="0"/>
    <n v="0"/>
    <n v="0"/>
    <n v="0"/>
    <n v="0"/>
    <n v="0"/>
  </r>
  <r>
    <m/>
    <x v="7"/>
    <m/>
    <m/>
    <m/>
    <d v="1900-01-31T00:00:00"/>
    <n v="0"/>
    <n v="0"/>
    <n v="0"/>
    <n v="22"/>
    <n v="0"/>
    <n v="0"/>
    <n v="0"/>
    <n v="0"/>
    <n v="0"/>
    <n v="0"/>
    <n v="0"/>
    <n v="0"/>
    <n v="0"/>
  </r>
  <r>
    <m/>
    <x v="7"/>
    <m/>
    <m/>
    <m/>
    <d v="1900-03-01T00:00:00"/>
    <n v="0"/>
    <n v="0"/>
    <n v="0"/>
    <n v="22"/>
    <n v="0"/>
    <n v="0"/>
    <n v="0"/>
    <n v="0"/>
    <n v="0"/>
    <n v="0"/>
    <n v="0"/>
    <n v="0"/>
    <n v="0"/>
  </r>
  <r>
    <m/>
    <x v="7"/>
    <m/>
    <m/>
    <m/>
    <d v="1900-04-01T00:00:00"/>
    <n v="0"/>
    <n v="0"/>
    <n v="0"/>
    <n v="22"/>
    <n v="0"/>
    <n v="0"/>
    <n v="0"/>
    <n v="0"/>
    <n v="0"/>
    <n v="0"/>
    <n v="0"/>
    <n v="0"/>
    <n v="0"/>
  </r>
  <r>
    <m/>
    <x v="7"/>
    <m/>
    <m/>
    <m/>
    <d v="1900-05-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7"/>
    <x v="8"/>
    <d v="1899-12-30T00:00:00"/>
    <s v="Batch 1"/>
    <n v="0"/>
    <d v="1900-01-31T00:00:00"/>
    <n v="0"/>
    <n v="0"/>
    <n v="0"/>
    <n v="22"/>
    <n v="0"/>
    <n v="0"/>
    <n v="0"/>
    <n v="0"/>
    <n v="0"/>
    <n v="0"/>
    <n v="0"/>
    <n v="0"/>
    <n v="0"/>
  </r>
  <r>
    <m/>
    <x v="8"/>
    <m/>
    <m/>
    <m/>
    <d v="1900-03-01T00:00:00"/>
    <n v="0"/>
    <n v="0"/>
    <n v="0"/>
    <n v="22"/>
    <n v="0"/>
    <n v="0"/>
    <n v="0"/>
    <n v="0"/>
    <n v="0"/>
    <n v="0"/>
    <n v="0"/>
    <n v="0"/>
    <n v="0"/>
  </r>
  <r>
    <m/>
    <x v="8"/>
    <m/>
    <m/>
    <m/>
    <d v="1900-04-01T00:00:00"/>
    <n v="0"/>
    <n v="0"/>
    <n v="0"/>
    <n v="22"/>
    <n v="0"/>
    <n v="0"/>
    <n v="0"/>
    <n v="0"/>
    <n v="0"/>
    <n v="0"/>
    <n v="0"/>
    <n v="0"/>
    <n v="0"/>
  </r>
  <r>
    <m/>
    <x v="8"/>
    <m/>
    <m/>
    <m/>
    <d v="1900-05-01T00:00:00"/>
    <n v="0"/>
    <n v="0"/>
    <n v="0"/>
    <n v="22"/>
    <n v="0"/>
    <n v="0"/>
    <n v="0"/>
    <n v="0"/>
    <n v="0"/>
    <n v="0"/>
    <n v="0"/>
    <n v="0"/>
    <n v="0"/>
  </r>
  <r>
    <m/>
    <x v="8"/>
    <m/>
    <m/>
    <m/>
    <d v="1900-06-01T00:00:00"/>
    <n v="0"/>
    <n v="0"/>
    <n v="0"/>
    <n v="22"/>
    <n v="0"/>
    <n v="0"/>
    <n v="0"/>
    <n v="0"/>
    <n v="0"/>
    <n v="0"/>
    <n v="0"/>
    <n v="0"/>
    <n v="0"/>
  </r>
  <r>
    <m/>
    <x v="8"/>
    <m/>
    <m/>
    <m/>
    <d v="1900-07-01T00:00:00"/>
    <n v="0"/>
    <n v="0"/>
    <n v="0"/>
    <n v="22"/>
    <n v="0"/>
    <n v="0"/>
    <n v="0"/>
    <n v="0"/>
    <n v="0"/>
    <n v="0"/>
    <n v="0"/>
    <n v="0"/>
    <n v="0"/>
  </r>
  <r>
    <m/>
    <x v="8"/>
    <m/>
    <m/>
    <m/>
    <d v="1900-08-01T00:00:00"/>
    <n v="0"/>
    <n v="0"/>
    <n v="0"/>
    <n v="22"/>
    <n v="0"/>
    <n v="0"/>
    <n v="0"/>
    <n v="0"/>
    <n v="0"/>
    <n v="0"/>
    <n v="0"/>
    <n v="0"/>
    <n v="0"/>
  </r>
  <r>
    <m/>
    <x v="8"/>
    <m/>
    <m/>
    <m/>
    <d v="1900-09-01T00:00:00"/>
    <n v="0"/>
    <n v="0"/>
    <n v="0"/>
    <n v="22"/>
    <n v="0"/>
    <n v="0"/>
    <n v="0"/>
    <n v="0"/>
    <n v="0"/>
    <n v="0"/>
    <n v="0"/>
    <n v="0"/>
    <n v="0"/>
  </r>
  <r>
    <m/>
    <x v="8"/>
    <m/>
    <m/>
    <m/>
    <d v="1900-10-01T00:00:00"/>
    <n v="0"/>
    <n v="0"/>
    <n v="0"/>
    <n v="22"/>
    <n v="0"/>
    <n v="0"/>
    <n v="0"/>
    <n v="0"/>
    <n v="0"/>
    <n v="0"/>
    <n v="0"/>
    <n v="0"/>
    <n v="0"/>
  </r>
  <r>
    <m/>
    <x v="8"/>
    <m/>
    <m/>
    <m/>
    <d v="1900-11-01T00:00:00"/>
    <n v="0"/>
    <n v="0"/>
    <n v="0"/>
    <n v="22"/>
    <n v="0"/>
    <n v="0"/>
    <n v="0"/>
    <n v="0"/>
    <n v="0"/>
    <n v="0"/>
    <n v="0"/>
    <n v="0"/>
    <n v="0"/>
  </r>
  <r>
    <m/>
    <x v="8"/>
    <m/>
    <m/>
    <m/>
    <d v="1900-12-01T00:00:00"/>
    <n v="0"/>
    <n v="0"/>
    <n v="0"/>
    <n v="22"/>
    <n v="0"/>
    <n v="0"/>
    <n v="0"/>
    <n v="0"/>
    <n v="0"/>
    <n v="0"/>
    <n v="0"/>
    <n v="0"/>
    <n v="0"/>
  </r>
  <r>
    <m/>
    <x v="8"/>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8"/>
    <x v="9"/>
    <d v="2025-08-09T00:00:00"/>
    <s v="Batch 1"/>
    <n v="29.302"/>
    <d v="2025-09-01T00:00:00"/>
    <n v="29.302"/>
    <n v="2.0510000000000002"/>
    <n v="10929"/>
    <n v="22"/>
    <n v="1.9890000000000001"/>
    <n v="1115.6323199999995"/>
    <n v="20622.150000000001"/>
    <n v="2268.44"/>
    <n v="1152.8076800000006"/>
    <n v="172.92"/>
    <n v="587.92999999999995"/>
    <n v="391.96"/>
    <n v="4.9000000000000002E-2"/>
  </r>
  <r>
    <m/>
    <x v="9"/>
    <m/>
    <m/>
    <m/>
    <d v="2025-10-01T00:00:00"/>
    <n v="29.350999999999999"/>
    <n v="2.0550000000000002"/>
    <n v="12115"/>
    <n v="22"/>
    <n v="1.9930000000000001"/>
    <n v="1240.575999999998"/>
    <n v="22904.62"/>
    <n v="2519.5100000000002"/>
    <n v="1278.9340000000022"/>
    <n v="191.84"/>
    <n v="652.26"/>
    <n v="434.84"/>
    <n v="0.05"/>
  </r>
  <r>
    <m/>
    <x v="9"/>
    <m/>
    <m/>
    <m/>
    <d v="2025-11-01T00:00:00"/>
    <n v="29.401"/>
    <n v="2.0579999999999998"/>
    <n v="12490"/>
    <n v="22"/>
    <n v="1.996"/>
    <n v="1281.9736000000007"/>
    <n v="23648.07"/>
    <n v="2601.29"/>
    <n v="1319.3163999999992"/>
    <n v="197.9"/>
    <n v="672.85"/>
    <n v="448.57"/>
    <n v="0.05"/>
  </r>
  <r>
    <m/>
    <x v="9"/>
    <m/>
    <m/>
    <m/>
    <d v="2025-12-01T00:00:00"/>
    <n v="29.451000000000001"/>
    <n v="2.0619999999999998"/>
    <n v="13220"/>
    <n v="22"/>
    <n v="2"/>
    <n v="1361.1312000000021"/>
    <n v="25078.87"/>
    <n v="2758.68"/>
    <n v="1397.5487999999978"/>
    <n v="209.63"/>
    <n v="712.75"/>
    <n v="475.17"/>
    <n v="0.05"/>
  </r>
  <r>
    <m/>
    <x v="9"/>
    <m/>
    <m/>
    <m/>
    <d v="2026-01-01T00:00:00"/>
    <n v="29.501000000000001"/>
    <n v="2.0649999999999999"/>
    <n v="13790"/>
    <n v="22"/>
    <n v="2.0030000000000001"/>
    <n v="1423.1280000000024"/>
    <n v="26198.240000000002"/>
    <n v="2881.81"/>
    <n v="1458.6819999999975"/>
    <n v="218.8"/>
    <n v="743.93"/>
    <n v="495.95"/>
    <n v="0.05"/>
  </r>
  <r>
    <m/>
    <x v="9"/>
    <m/>
    <m/>
    <m/>
    <d v="2026-02-01T00:00:00"/>
    <n v="29.550999999999998"/>
    <n v="2.069"/>
    <n v="15760"/>
    <n v="22"/>
    <n v="2.0070000000000001"/>
    <n v="1631.475200000001"/>
    <n v="29998.84"/>
    <n v="3299.87"/>
    <n v="1668.3947999999989"/>
    <n v="250.26"/>
    <n v="850.88"/>
    <n v="567.25"/>
    <n v="0.05"/>
  </r>
  <r>
    <m/>
    <x v="9"/>
    <m/>
    <m/>
    <m/>
    <d v="2026-03-01T00:00:00"/>
    <n v="29.600999999999999"/>
    <n v="2.0720000000000001"/>
    <n v="17200"/>
    <n v="22"/>
    <n v="2.0099999999999998"/>
    <n v="1784.6719999999937"/>
    <n v="32787.33"/>
    <n v="3606.61"/>
    <n v="1821.9380000000065"/>
    <n v="273.29000000000002"/>
    <n v="929.19"/>
    <n v="619.46"/>
    <n v="0.05"/>
  </r>
  <r>
    <m/>
    <x v="9"/>
    <m/>
    <m/>
    <m/>
    <d v="2026-04-01T00:00:00"/>
    <n v="29.651"/>
    <n v="2.0760000000000001"/>
    <n v="15450"/>
    <n v="22"/>
    <n v="2.0139999999999998"/>
    <n v="1608.0359999999957"/>
    <n v="29508.26"/>
    <n v="3245.91"/>
    <n v="1637.8740000000041"/>
    <n v="245.68"/>
    <n v="835.32"/>
    <n v="556.88"/>
    <n v="0.05"/>
  </r>
  <r>
    <m/>
    <x v="9"/>
    <m/>
    <m/>
    <m/>
    <d v="1899-12-30T00:00:00"/>
    <n v="0"/>
    <n v="0"/>
    <n v="0"/>
    <n v="22"/>
    <n v="0"/>
    <n v="0"/>
    <n v="0"/>
    <n v="0"/>
    <n v="0"/>
    <n v="0"/>
    <n v="0"/>
    <n v="0"/>
    <n v="0"/>
  </r>
  <r>
    <m/>
    <x v="9"/>
    <m/>
    <m/>
    <m/>
    <d v="1900-01-31T00:00:00"/>
    <n v="0"/>
    <n v="0"/>
    <n v="0"/>
    <n v="22"/>
    <n v="0"/>
    <n v="0"/>
    <n v="0"/>
    <n v="0"/>
    <n v="0"/>
    <n v="0"/>
    <n v="0"/>
    <n v="0"/>
    <n v="0"/>
  </r>
  <r>
    <m/>
    <x v="9"/>
    <m/>
    <m/>
    <m/>
    <d v="1900-03-01T00:00:00"/>
    <n v="0"/>
    <n v="0"/>
    <n v="0"/>
    <n v="22"/>
    <n v="0"/>
    <n v="0"/>
    <n v="0"/>
    <n v="0"/>
    <n v="0"/>
    <n v="0"/>
    <n v="0"/>
    <n v="0"/>
    <n v="0"/>
  </r>
  <r>
    <m/>
    <x v="9"/>
    <m/>
    <m/>
    <m/>
    <d v="1900-04-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9"/>
    <x v="10"/>
    <d v="2026-03-12T00:00:00"/>
    <s v="Batch 1"/>
    <n v="3.589"/>
    <d v="2026-04-01T00:00:00"/>
    <n v="3.589"/>
    <n v="0.251"/>
    <n v="15450"/>
    <n v="22"/>
    <n v="0.24299999999999999"/>
    <n v="186.63599999999968"/>
    <n v="3567.71"/>
    <n v="392.45"/>
    <n v="205.81400000000031"/>
    <n v="30.87"/>
    <n v="104.97"/>
    <n v="69.98"/>
    <n v="6.0000000000000001E-3"/>
  </r>
  <r>
    <m/>
    <x v="10"/>
    <m/>
    <m/>
    <m/>
    <d v="1899-12-30T00:00:00"/>
    <n v="0"/>
    <n v="0"/>
    <n v="0"/>
    <n v="22"/>
    <n v="0"/>
    <n v="0"/>
    <n v="0"/>
    <n v="0"/>
    <n v="0"/>
    <n v="0"/>
    <n v="0"/>
    <n v="0"/>
    <n v="0"/>
  </r>
  <r>
    <m/>
    <x v="10"/>
    <m/>
    <m/>
    <m/>
    <d v="1900-01-31T00:00:00"/>
    <n v="0"/>
    <n v="0"/>
    <n v="0"/>
    <n v="22"/>
    <n v="0"/>
    <n v="0"/>
    <n v="0"/>
    <n v="0"/>
    <n v="0"/>
    <n v="0"/>
    <n v="0"/>
    <n v="0"/>
    <n v="0"/>
  </r>
  <r>
    <m/>
    <x v="10"/>
    <m/>
    <m/>
    <m/>
    <d v="1900-03-01T00:00:00"/>
    <n v="0"/>
    <n v="0"/>
    <n v="0"/>
    <n v="22"/>
    <n v="0"/>
    <n v="0"/>
    <n v="0"/>
    <n v="0"/>
    <n v="0"/>
    <n v="0"/>
    <n v="0"/>
    <n v="0"/>
    <n v="0"/>
  </r>
  <r>
    <m/>
    <x v="10"/>
    <m/>
    <m/>
    <m/>
    <d v="1900-04-01T00:00:00"/>
    <n v="0"/>
    <n v="0"/>
    <n v="0"/>
    <n v="22"/>
    <n v="0"/>
    <n v="0"/>
    <n v="0"/>
    <n v="0"/>
    <n v="0"/>
    <n v="0"/>
    <n v="0"/>
    <n v="0"/>
    <n v="0"/>
  </r>
  <r>
    <m/>
    <x v="10"/>
    <m/>
    <m/>
    <m/>
    <d v="1900-05-01T00:00:00"/>
    <n v="0"/>
    <n v="0"/>
    <n v="0"/>
    <n v="22"/>
    <n v="0"/>
    <n v="0"/>
    <n v="0"/>
    <n v="0"/>
    <n v="0"/>
    <n v="0"/>
    <n v="0"/>
    <n v="0"/>
    <n v="0"/>
  </r>
  <r>
    <m/>
    <x v="10"/>
    <m/>
    <m/>
    <m/>
    <d v="1900-06-01T00:00:00"/>
    <n v="0"/>
    <n v="0"/>
    <n v="0"/>
    <n v="22"/>
    <n v="0"/>
    <n v="0"/>
    <n v="0"/>
    <n v="0"/>
    <n v="0"/>
    <n v="0"/>
    <n v="0"/>
    <n v="0"/>
    <n v="0"/>
  </r>
  <r>
    <m/>
    <x v="10"/>
    <m/>
    <m/>
    <m/>
    <d v="1900-07-01T00:00:00"/>
    <n v="0"/>
    <n v="0"/>
    <n v="0"/>
    <n v="22"/>
    <n v="0"/>
    <n v="0"/>
    <n v="0"/>
    <n v="0"/>
    <n v="0"/>
    <n v="0"/>
    <n v="0"/>
    <n v="0"/>
    <n v="0"/>
  </r>
  <r>
    <m/>
    <x v="10"/>
    <m/>
    <m/>
    <m/>
    <d v="1900-08-01T00:00:00"/>
    <n v="0"/>
    <n v="0"/>
    <n v="0"/>
    <n v="22"/>
    <n v="0"/>
    <n v="0"/>
    <n v="0"/>
    <n v="0"/>
    <n v="0"/>
    <n v="0"/>
    <n v="0"/>
    <n v="0"/>
    <n v="0"/>
  </r>
  <r>
    <m/>
    <x v="10"/>
    <m/>
    <m/>
    <m/>
    <d v="1900-09-01T00:00:00"/>
    <n v="0"/>
    <n v="0"/>
    <n v="0"/>
    <n v="22"/>
    <n v="0"/>
    <n v="0"/>
    <n v="0"/>
    <n v="0"/>
    <n v="0"/>
    <n v="0"/>
    <n v="0"/>
    <n v="0"/>
    <n v="0"/>
  </r>
  <r>
    <m/>
    <x v="10"/>
    <m/>
    <m/>
    <m/>
    <d v="1900-10-01T00:00:00"/>
    <n v="0"/>
    <n v="0"/>
    <n v="0"/>
    <n v="22"/>
    <n v="0"/>
    <n v="0"/>
    <n v="0"/>
    <n v="0"/>
    <n v="0"/>
    <n v="0"/>
    <n v="0"/>
    <n v="0"/>
    <n v="0"/>
  </r>
  <r>
    <m/>
    <x v="10"/>
    <m/>
    <m/>
    <m/>
    <d v="1900-1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10"/>
    <x v="11"/>
    <d v="1899-12-30T00:00:00"/>
    <s v="Batch 1"/>
    <n v="0"/>
    <d v="1900-01-31T00:00:00"/>
    <n v="0"/>
    <n v="0"/>
    <n v="0"/>
    <n v="22"/>
    <n v="0"/>
    <n v="0"/>
    <n v="0"/>
    <n v="0"/>
    <n v="0"/>
    <n v="0"/>
    <n v="0"/>
    <n v="0"/>
    <n v="0"/>
  </r>
  <r>
    <m/>
    <x v="11"/>
    <m/>
    <m/>
    <m/>
    <d v="1900-03-01T00:00:00"/>
    <n v="0"/>
    <n v="0"/>
    <n v="0"/>
    <n v="22"/>
    <n v="0"/>
    <n v="0"/>
    <n v="0"/>
    <n v="0"/>
    <n v="0"/>
    <n v="0"/>
    <n v="0"/>
    <n v="0"/>
    <n v="0"/>
  </r>
  <r>
    <m/>
    <x v="11"/>
    <m/>
    <m/>
    <m/>
    <d v="1900-04-01T00:00:00"/>
    <n v="0"/>
    <n v="0"/>
    <n v="0"/>
    <n v="22"/>
    <n v="0"/>
    <n v="0"/>
    <n v="0"/>
    <n v="0"/>
    <n v="0"/>
    <n v="0"/>
    <n v="0"/>
    <n v="0"/>
    <n v="0"/>
  </r>
  <r>
    <m/>
    <x v="11"/>
    <m/>
    <m/>
    <m/>
    <d v="1900-05-01T00:00:00"/>
    <n v="0"/>
    <n v="0"/>
    <n v="0"/>
    <n v="22"/>
    <n v="0"/>
    <n v="0"/>
    <n v="0"/>
    <n v="0"/>
    <n v="0"/>
    <n v="0"/>
    <n v="0"/>
    <n v="0"/>
    <n v="0"/>
  </r>
  <r>
    <m/>
    <x v="11"/>
    <m/>
    <m/>
    <m/>
    <d v="1900-06-01T00:00:00"/>
    <n v="0"/>
    <n v="0"/>
    <n v="0"/>
    <n v="22"/>
    <n v="0"/>
    <n v="0"/>
    <n v="0"/>
    <n v="0"/>
    <n v="0"/>
    <n v="0"/>
    <n v="0"/>
    <n v="0"/>
    <n v="0"/>
  </r>
  <r>
    <m/>
    <x v="11"/>
    <m/>
    <m/>
    <m/>
    <d v="1900-07-01T00:00:00"/>
    <n v="0"/>
    <n v="0"/>
    <n v="0"/>
    <n v="22"/>
    <n v="0"/>
    <n v="0"/>
    <n v="0"/>
    <n v="0"/>
    <n v="0"/>
    <n v="0"/>
    <n v="0"/>
    <n v="0"/>
    <n v="0"/>
  </r>
  <r>
    <m/>
    <x v="11"/>
    <m/>
    <m/>
    <m/>
    <d v="1900-08-01T00:00:00"/>
    <n v="0"/>
    <n v="0"/>
    <n v="0"/>
    <n v="22"/>
    <n v="0"/>
    <n v="0"/>
    <n v="0"/>
    <n v="0"/>
    <n v="0"/>
    <n v="0"/>
    <n v="0"/>
    <n v="0"/>
    <n v="0"/>
  </r>
  <r>
    <m/>
    <x v="11"/>
    <m/>
    <m/>
    <m/>
    <d v="1900-09-01T00:00:00"/>
    <n v="0"/>
    <n v="0"/>
    <n v="0"/>
    <n v="22"/>
    <n v="0"/>
    <n v="0"/>
    <n v="0"/>
    <n v="0"/>
    <n v="0"/>
    <n v="0"/>
    <n v="0"/>
    <n v="0"/>
    <n v="0"/>
  </r>
  <r>
    <m/>
    <x v="11"/>
    <m/>
    <m/>
    <m/>
    <d v="1900-10-01T00:00:00"/>
    <n v="0"/>
    <n v="0"/>
    <n v="0"/>
    <n v="22"/>
    <n v="0"/>
    <n v="0"/>
    <n v="0"/>
    <n v="0"/>
    <n v="0"/>
    <n v="0"/>
    <n v="0"/>
    <n v="0"/>
    <n v="0"/>
  </r>
  <r>
    <m/>
    <x v="11"/>
    <m/>
    <m/>
    <m/>
    <d v="1900-11-01T00:00:00"/>
    <n v="0"/>
    <n v="0"/>
    <n v="0"/>
    <n v="22"/>
    <n v="0"/>
    <n v="0"/>
    <n v="0"/>
    <n v="0"/>
    <n v="0"/>
    <n v="0"/>
    <n v="0"/>
    <n v="0"/>
    <n v="0"/>
  </r>
  <r>
    <m/>
    <x v="11"/>
    <m/>
    <m/>
    <m/>
    <d v="1900-12-01T00:00:00"/>
    <n v="0"/>
    <n v="0"/>
    <n v="0"/>
    <n v="22"/>
    <n v="0"/>
    <n v="0"/>
    <n v="0"/>
    <n v="0"/>
    <n v="0"/>
    <n v="0"/>
    <n v="0"/>
    <n v="0"/>
    <n v="0"/>
  </r>
  <r>
    <m/>
    <x v="11"/>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11"/>
    <x v="12"/>
    <d v="1899-12-30T00:00:00"/>
    <s v="Batch 1"/>
    <n v="0"/>
    <d v="1900-01-31T00:00:00"/>
    <n v="0"/>
    <n v="0"/>
    <n v="0"/>
    <n v="22"/>
    <n v="0"/>
    <n v="0"/>
    <n v="0"/>
    <n v="0"/>
    <n v="0"/>
    <n v="0"/>
    <n v="0"/>
    <n v="0"/>
    <n v="0"/>
  </r>
  <r>
    <m/>
    <x v="12"/>
    <m/>
    <m/>
    <m/>
    <d v="1900-03-01T00:00:00"/>
    <n v="0"/>
    <n v="0"/>
    <n v="0"/>
    <n v="22"/>
    <n v="0"/>
    <n v="0"/>
    <n v="0"/>
    <n v="0"/>
    <n v="0"/>
    <n v="0"/>
    <n v="0"/>
    <n v="0"/>
    <n v="0"/>
  </r>
  <r>
    <m/>
    <x v="12"/>
    <m/>
    <m/>
    <m/>
    <d v="1900-04-01T00:00:00"/>
    <n v="0"/>
    <n v="0"/>
    <n v="0"/>
    <n v="22"/>
    <n v="0"/>
    <n v="0"/>
    <n v="0"/>
    <n v="0"/>
    <n v="0"/>
    <n v="0"/>
    <n v="0"/>
    <n v="0"/>
    <n v="0"/>
  </r>
  <r>
    <m/>
    <x v="12"/>
    <m/>
    <m/>
    <m/>
    <d v="1900-05-01T00:00:00"/>
    <n v="0"/>
    <n v="0"/>
    <n v="0"/>
    <n v="22"/>
    <n v="0"/>
    <n v="0"/>
    <n v="0"/>
    <n v="0"/>
    <n v="0"/>
    <n v="0"/>
    <n v="0"/>
    <n v="0"/>
    <n v="0"/>
  </r>
  <r>
    <m/>
    <x v="12"/>
    <m/>
    <m/>
    <m/>
    <d v="1900-06-01T00:00:00"/>
    <n v="0"/>
    <n v="0"/>
    <n v="0"/>
    <n v="22"/>
    <n v="0"/>
    <n v="0"/>
    <n v="0"/>
    <n v="0"/>
    <n v="0"/>
    <n v="0"/>
    <n v="0"/>
    <n v="0"/>
    <n v="0"/>
  </r>
  <r>
    <m/>
    <x v="12"/>
    <m/>
    <m/>
    <m/>
    <d v="1900-07-01T00:00:00"/>
    <n v="0"/>
    <n v="0"/>
    <n v="0"/>
    <n v="22"/>
    <n v="0"/>
    <n v="0"/>
    <n v="0"/>
    <n v="0"/>
    <n v="0"/>
    <n v="0"/>
    <n v="0"/>
    <n v="0"/>
    <n v="0"/>
  </r>
  <r>
    <m/>
    <x v="12"/>
    <m/>
    <m/>
    <m/>
    <d v="1900-08-01T00:00:00"/>
    <n v="0"/>
    <n v="0"/>
    <n v="0"/>
    <n v="22"/>
    <n v="0"/>
    <n v="0"/>
    <n v="0"/>
    <n v="0"/>
    <n v="0"/>
    <n v="0"/>
    <n v="0"/>
    <n v="0"/>
    <n v="0"/>
  </r>
  <r>
    <m/>
    <x v="12"/>
    <m/>
    <m/>
    <m/>
    <d v="1900-09-01T00:00:00"/>
    <n v="0"/>
    <n v="0"/>
    <n v="0"/>
    <n v="22"/>
    <n v="0"/>
    <n v="0"/>
    <n v="0"/>
    <n v="0"/>
    <n v="0"/>
    <n v="0"/>
    <n v="0"/>
    <n v="0"/>
    <n v="0"/>
  </r>
  <r>
    <m/>
    <x v="12"/>
    <m/>
    <m/>
    <m/>
    <d v="1900-10-01T00:00:00"/>
    <n v="0"/>
    <n v="0"/>
    <n v="0"/>
    <n v="22"/>
    <n v="0"/>
    <n v="0"/>
    <n v="0"/>
    <n v="0"/>
    <n v="0"/>
    <n v="0"/>
    <n v="0"/>
    <n v="0"/>
    <n v="0"/>
  </r>
  <r>
    <m/>
    <x v="12"/>
    <m/>
    <m/>
    <m/>
    <d v="1900-11-01T00:00:00"/>
    <n v="0"/>
    <n v="0"/>
    <n v="0"/>
    <n v="22"/>
    <n v="0"/>
    <n v="0"/>
    <n v="0"/>
    <n v="0"/>
    <n v="0"/>
    <n v="0"/>
    <n v="0"/>
    <n v="0"/>
    <n v="0"/>
  </r>
  <r>
    <m/>
    <x v="12"/>
    <m/>
    <m/>
    <m/>
    <d v="1900-12-01T00:00:00"/>
    <n v="0"/>
    <n v="0"/>
    <n v="0"/>
    <n v="22"/>
    <n v="0"/>
    <n v="0"/>
    <n v="0"/>
    <n v="0"/>
    <n v="0"/>
    <n v="0"/>
    <n v="0"/>
    <n v="0"/>
    <n v="0"/>
  </r>
  <r>
    <m/>
    <x v="12"/>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12"/>
    <x v="13"/>
    <d v="2025-09-01T00:00:00"/>
    <s v="Batch 2"/>
    <n v="15.692"/>
    <d v="2025-10-01T00:00:00"/>
    <n v="15.692"/>
    <n v="1.0980000000000001"/>
    <n v="12115"/>
    <n v="22"/>
    <n v="1.0649999999999999"/>
    <n v="664.38659999999732"/>
    <n v="12238.09"/>
    <n v="1346.19"/>
    <n v="681.80340000000274"/>
    <n v="102.27"/>
    <n v="347.72"/>
    <n v="231.81"/>
    <n v="2.5999999999999999E-2"/>
  </r>
  <r>
    <m/>
    <x v="13"/>
    <m/>
    <m/>
    <m/>
    <d v="2025-11-01T00:00:00"/>
    <n v="15.718"/>
    <n v="1.1000000000000001"/>
    <n v="12490"/>
    <n v="22"/>
    <n v="1.0669999999999999"/>
    <n v="686.94999999999641"/>
    <n v="12639.88"/>
    <n v="1390.39"/>
    <n v="703.44000000000369"/>
    <n v="105.52"/>
    <n v="358.75"/>
    <n v="239.17"/>
    <n v="2.5999999999999999E-2"/>
  </r>
  <r>
    <m/>
    <x v="13"/>
    <m/>
    <m/>
    <m/>
    <d v="2025-12-01T00:00:00"/>
    <n v="15.744"/>
    <n v="1.1020000000000001"/>
    <n v="13220"/>
    <n v="22"/>
    <n v="1.069"/>
    <n v="729.21519999999839"/>
    <n v="13402.96"/>
    <n v="1474.33"/>
    <n v="745.11480000000154"/>
    <n v="111.77"/>
    <n v="380.01"/>
    <n v="253.34"/>
    <n v="2.5999999999999999E-2"/>
  </r>
  <r>
    <m/>
    <x v="13"/>
    <m/>
    <m/>
    <m/>
    <d v="2026-01-01T00:00:00"/>
    <n v="15.77"/>
    <n v="1.1040000000000001"/>
    <n v="13790"/>
    <n v="22"/>
    <n v="1.071"/>
    <n v="762.86279999999738"/>
    <n v="14006.23"/>
    <n v="1540.69"/>
    <n v="777.82720000000268"/>
    <n v="116.67"/>
    <n v="396.69"/>
    <n v="264.45999999999998"/>
    <n v="2.5999999999999999E-2"/>
  </r>
  <r>
    <m/>
    <x v="13"/>
    <m/>
    <m/>
    <m/>
    <d v="2026-02-01T00:00:00"/>
    <n v="15.795999999999999"/>
    <n v="1.1060000000000001"/>
    <n v="15760"/>
    <n v="22"/>
    <n v="1.073"/>
    <n v="874.36479999999608"/>
    <n v="16036.12"/>
    <n v="1763.97"/>
    <n v="889.60520000000395"/>
    <n v="133.44"/>
    <n v="453.7"/>
    <n v="302.47000000000003"/>
    <n v="2.5999999999999999E-2"/>
  </r>
  <r>
    <m/>
    <x v="13"/>
    <m/>
    <m/>
    <m/>
    <d v="2026-03-01T00:00:00"/>
    <n v="15.821999999999999"/>
    <n v="1.1080000000000001"/>
    <n v="17200"/>
    <n v="22"/>
    <n v="1.075"/>
    <n v="957.00799999999845"/>
    <n v="17532.990000000002"/>
    <n v="1928.63"/>
    <n v="971.62200000000166"/>
    <n v="145.74"/>
    <n v="495.53"/>
    <n v="330.35"/>
    <n v="2.7E-2"/>
  </r>
  <r>
    <m/>
    <x v="13"/>
    <m/>
    <m/>
    <m/>
    <d v="2026-04-01T00:00:00"/>
    <n v="15.849"/>
    <n v="1.109"/>
    <n v="15450"/>
    <n v="22"/>
    <n v="1.0760000000000001"/>
    <n v="860.87399999999991"/>
    <n v="15763.33"/>
    <n v="1733.97"/>
    <n v="873.09600000000012"/>
    <n v="130.96"/>
    <n v="445.28"/>
    <n v="296.85000000000002"/>
    <n v="2.7E-2"/>
  </r>
  <r>
    <m/>
    <x v="13"/>
    <m/>
    <m/>
    <m/>
    <d v="1899-12-30T00:00:00"/>
    <n v="0"/>
    <n v="0"/>
    <n v="0"/>
    <n v="22"/>
    <n v="0"/>
    <n v="0"/>
    <n v="0"/>
    <n v="0"/>
    <n v="0"/>
    <n v="0"/>
    <n v="0"/>
    <n v="0"/>
    <n v="0"/>
  </r>
  <r>
    <m/>
    <x v="13"/>
    <m/>
    <m/>
    <m/>
    <d v="1900-01-31T00:00:00"/>
    <n v="0"/>
    <n v="0"/>
    <n v="0"/>
    <n v="22"/>
    <n v="0"/>
    <n v="0"/>
    <n v="0"/>
    <n v="0"/>
    <n v="0"/>
    <n v="0"/>
    <n v="0"/>
    <n v="0"/>
    <n v="0"/>
  </r>
  <r>
    <m/>
    <x v="13"/>
    <m/>
    <m/>
    <m/>
    <d v="1900-03-01T00:00:00"/>
    <n v="0"/>
    <n v="0"/>
    <n v="0"/>
    <n v="22"/>
    <n v="0"/>
    <n v="0"/>
    <n v="0"/>
    <n v="0"/>
    <n v="0"/>
    <n v="0"/>
    <n v="0"/>
    <n v="0"/>
    <n v="0"/>
  </r>
  <r>
    <m/>
    <x v="13"/>
    <m/>
    <m/>
    <m/>
    <d v="1900-04-01T00:00:00"/>
    <n v="0"/>
    <n v="0"/>
    <n v="0"/>
    <n v="22"/>
    <n v="0"/>
    <n v="0"/>
    <n v="0"/>
    <n v="0"/>
    <n v="0"/>
    <n v="0"/>
    <n v="0"/>
    <n v="0"/>
    <n v="0"/>
  </r>
  <r>
    <m/>
    <x v="13"/>
    <m/>
    <m/>
    <m/>
    <d v="1900-05-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13"/>
    <x v="14"/>
    <d v="2025-09-01T00:00:00"/>
    <s v="Batch 2"/>
    <n v="15.692"/>
    <d v="2025-10-01T00:00:00"/>
    <n v="15.692"/>
    <n v="1.0980000000000001"/>
    <n v="12115"/>
    <n v="22"/>
    <n v="1.0649999999999999"/>
    <n v="664.38659999999732"/>
    <n v="12238.09"/>
    <n v="1346.19"/>
    <n v="681.80340000000274"/>
    <n v="102.27"/>
    <n v="347.72"/>
    <n v="231.81"/>
    <n v="2.5999999999999999E-2"/>
  </r>
  <r>
    <m/>
    <x v="14"/>
    <m/>
    <m/>
    <m/>
    <d v="2025-11-01T00:00:00"/>
    <n v="15.718"/>
    <n v="1.1000000000000001"/>
    <n v="12490"/>
    <n v="22"/>
    <n v="1.0669999999999999"/>
    <n v="686.94999999999641"/>
    <n v="12639.88"/>
    <n v="1390.39"/>
    <n v="703.44000000000369"/>
    <n v="105.52"/>
    <n v="358.75"/>
    <n v="239.17"/>
    <n v="2.5999999999999999E-2"/>
  </r>
  <r>
    <m/>
    <x v="14"/>
    <m/>
    <m/>
    <m/>
    <d v="2025-12-01T00:00:00"/>
    <n v="15.744"/>
    <n v="1.1020000000000001"/>
    <n v="13220"/>
    <n v="22"/>
    <n v="1.069"/>
    <n v="729.21519999999839"/>
    <n v="13402.96"/>
    <n v="1474.33"/>
    <n v="745.11480000000154"/>
    <n v="111.77"/>
    <n v="380.01"/>
    <n v="253.34"/>
    <n v="2.5999999999999999E-2"/>
  </r>
  <r>
    <m/>
    <x v="14"/>
    <m/>
    <m/>
    <m/>
    <d v="2026-01-01T00:00:00"/>
    <n v="15.77"/>
    <n v="1.1040000000000001"/>
    <n v="13790"/>
    <n v="22"/>
    <n v="1.071"/>
    <n v="762.86279999999738"/>
    <n v="14006.23"/>
    <n v="1540.69"/>
    <n v="777.82720000000268"/>
    <n v="116.67"/>
    <n v="396.69"/>
    <n v="264.45999999999998"/>
    <n v="2.5999999999999999E-2"/>
  </r>
  <r>
    <m/>
    <x v="14"/>
    <m/>
    <m/>
    <m/>
    <d v="2026-02-01T00:00:00"/>
    <n v="15.795999999999999"/>
    <n v="1.1060000000000001"/>
    <n v="15760"/>
    <n v="22"/>
    <n v="1.073"/>
    <n v="874.36479999999608"/>
    <n v="16036.12"/>
    <n v="1763.97"/>
    <n v="889.60520000000395"/>
    <n v="133.44"/>
    <n v="453.7"/>
    <n v="302.47000000000003"/>
    <n v="2.5999999999999999E-2"/>
  </r>
  <r>
    <m/>
    <x v="14"/>
    <m/>
    <m/>
    <m/>
    <d v="2026-03-01T00:00:00"/>
    <n v="15.821999999999999"/>
    <n v="1.1080000000000001"/>
    <n v="17200"/>
    <n v="22"/>
    <n v="1.075"/>
    <n v="957.00799999999845"/>
    <n v="17532.990000000002"/>
    <n v="1928.63"/>
    <n v="971.62200000000166"/>
    <n v="145.74"/>
    <n v="495.53"/>
    <n v="330.35"/>
    <n v="2.7E-2"/>
  </r>
  <r>
    <m/>
    <x v="14"/>
    <m/>
    <m/>
    <m/>
    <d v="2026-04-01T00:00:00"/>
    <n v="15.849"/>
    <n v="1.109"/>
    <n v="15450"/>
    <n v="22"/>
    <n v="1.0760000000000001"/>
    <n v="860.87399999999991"/>
    <n v="15763.33"/>
    <n v="1733.97"/>
    <n v="873.09600000000012"/>
    <n v="130.96"/>
    <n v="445.28"/>
    <n v="296.85000000000002"/>
    <n v="2.7E-2"/>
  </r>
  <r>
    <m/>
    <x v="14"/>
    <m/>
    <m/>
    <m/>
    <d v="1899-12-30T00:00:00"/>
    <n v="0"/>
    <n v="0"/>
    <n v="0"/>
    <n v="22"/>
    <n v="0"/>
    <n v="0"/>
    <n v="0"/>
    <n v="0"/>
    <n v="0"/>
    <n v="0"/>
    <n v="0"/>
    <n v="0"/>
    <n v="0"/>
  </r>
  <r>
    <m/>
    <x v="14"/>
    <m/>
    <m/>
    <m/>
    <d v="1900-01-31T00:00:00"/>
    <n v="0"/>
    <n v="0"/>
    <n v="0"/>
    <n v="22"/>
    <n v="0"/>
    <n v="0"/>
    <n v="0"/>
    <n v="0"/>
    <n v="0"/>
    <n v="0"/>
    <n v="0"/>
    <n v="0"/>
    <n v="0"/>
  </r>
  <r>
    <m/>
    <x v="14"/>
    <m/>
    <m/>
    <m/>
    <d v="1900-03-01T00:00:00"/>
    <n v="0"/>
    <n v="0"/>
    <n v="0"/>
    <n v="22"/>
    <n v="0"/>
    <n v="0"/>
    <n v="0"/>
    <n v="0"/>
    <n v="0"/>
    <n v="0"/>
    <n v="0"/>
    <n v="0"/>
    <n v="0"/>
  </r>
  <r>
    <m/>
    <x v="14"/>
    <m/>
    <m/>
    <m/>
    <d v="1900-04-01T00:00:00"/>
    <n v="0"/>
    <n v="0"/>
    <n v="0"/>
    <n v="22"/>
    <n v="0"/>
    <n v="0"/>
    <n v="0"/>
    <n v="0"/>
    <n v="0"/>
    <n v="0"/>
    <n v="0"/>
    <n v="0"/>
    <n v="0"/>
  </r>
  <r>
    <m/>
    <x v="14"/>
    <m/>
    <m/>
    <m/>
    <d v="1900-05-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14"/>
    <x v="15"/>
    <d v="2025-09-01T00:00:00"/>
    <s v="Batch 2"/>
    <n v="15.692"/>
    <d v="2025-10-01T00:00:00"/>
    <n v="15.692"/>
    <n v="1.0980000000000001"/>
    <n v="12115"/>
    <n v="22"/>
    <n v="1.0649999999999999"/>
    <n v="664.38659999999732"/>
    <n v="12238.09"/>
    <n v="1346.19"/>
    <n v="681.80340000000274"/>
    <n v="102.27"/>
    <n v="347.72"/>
    <n v="231.81"/>
    <n v="2.5999999999999999E-2"/>
  </r>
  <r>
    <m/>
    <x v="15"/>
    <m/>
    <m/>
    <m/>
    <d v="2025-11-01T00:00:00"/>
    <n v="15.718"/>
    <n v="1.1000000000000001"/>
    <n v="12490"/>
    <n v="22"/>
    <n v="1.0669999999999999"/>
    <n v="686.94999999999641"/>
    <n v="12639.88"/>
    <n v="1390.39"/>
    <n v="703.44000000000369"/>
    <n v="105.52"/>
    <n v="358.75"/>
    <n v="239.17"/>
    <n v="2.5999999999999999E-2"/>
  </r>
  <r>
    <m/>
    <x v="15"/>
    <m/>
    <m/>
    <m/>
    <d v="2025-12-01T00:00:00"/>
    <n v="15.744"/>
    <n v="1.1020000000000001"/>
    <n v="13220"/>
    <n v="22"/>
    <n v="1.069"/>
    <n v="729.21519999999839"/>
    <n v="13402.96"/>
    <n v="1474.33"/>
    <n v="745.11480000000154"/>
    <n v="111.77"/>
    <n v="380.01"/>
    <n v="253.34"/>
    <n v="2.5999999999999999E-2"/>
  </r>
  <r>
    <m/>
    <x v="15"/>
    <m/>
    <m/>
    <m/>
    <d v="2026-01-01T00:00:00"/>
    <n v="15.77"/>
    <n v="1.1040000000000001"/>
    <n v="13790"/>
    <n v="22"/>
    <n v="1.071"/>
    <n v="762.86279999999738"/>
    <n v="14006.23"/>
    <n v="1540.69"/>
    <n v="777.82720000000268"/>
    <n v="116.67"/>
    <n v="396.69"/>
    <n v="264.45999999999998"/>
    <n v="2.5999999999999999E-2"/>
  </r>
  <r>
    <m/>
    <x v="15"/>
    <m/>
    <m/>
    <m/>
    <d v="2026-02-01T00:00:00"/>
    <n v="15.795999999999999"/>
    <n v="1.1060000000000001"/>
    <n v="15760"/>
    <n v="22"/>
    <n v="1.073"/>
    <n v="874.36479999999608"/>
    <n v="16036.12"/>
    <n v="1763.97"/>
    <n v="889.60520000000395"/>
    <n v="133.44"/>
    <n v="453.7"/>
    <n v="302.47000000000003"/>
    <n v="2.5999999999999999E-2"/>
  </r>
  <r>
    <m/>
    <x v="15"/>
    <m/>
    <m/>
    <m/>
    <d v="2026-03-01T00:00:00"/>
    <n v="15.821999999999999"/>
    <n v="1.1080000000000001"/>
    <n v="17200"/>
    <n v="22"/>
    <n v="1.075"/>
    <n v="957.00799999999845"/>
    <n v="17532.990000000002"/>
    <n v="1928.63"/>
    <n v="971.62200000000166"/>
    <n v="145.74"/>
    <n v="495.53"/>
    <n v="330.35"/>
    <n v="2.7E-2"/>
  </r>
  <r>
    <m/>
    <x v="15"/>
    <m/>
    <m/>
    <m/>
    <d v="2026-04-01T00:00:00"/>
    <n v="15.849"/>
    <n v="1.109"/>
    <n v="15450"/>
    <n v="22"/>
    <n v="1.0760000000000001"/>
    <n v="860.87399999999991"/>
    <n v="15763.33"/>
    <n v="1733.97"/>
    <n v="873.09600000000012"/>
    <n v="130.96"/>
    <n v="445.28"/>
    <n v="296.85000000000002"/>
    <n v="2.7E-2"/>
  </r>
  <r>
    <m/>
    <x v="15"/>
    <m/>
    <m/>
    <m/>
    <d v="1899-12-30T00:00:00"/>
    <n v="0"/>
    <n v="0"/>
    <n v="0"/>
    <n v="22"/>
    <n v="0"/>
    <n v="0"/>
    <n v="0"/>
    <n v="0"/>
    <n v="0"/>
    <n v="0"/>
    <n v="0"/>
    <n v="0"/>
    <n v="0"/>
  </r>
  <r>
    <m/>
    <x v="15"/>
    <m/>
    <m/>
    <m/>
    <d v="1900-01-31T00:00:00"/>
    <n v="0"/>
    <n v="0"/>
    <n v="0"/>
    <n v="22"/>
    <n v="0"/>
    <n v="0"/>
    <n v="0"/>
    <n v="0"/>
    <n v="0"/>
    <n v="0"/>
    <n v="0"/>
    <n v="0"/>
    <n v="0"/>
  </r>
  <r>
    <m/>
    <x v="15"/>
    <m/>
    <m/>
    <m/>
    <d v="1900-03-01T00:00:00"/>
    <n v="0"/>
    <n v="0"/>
    <n v="0"/>
    <n v="22"/>
    <n v="0"/>
    <n v="0"/>
    <n v="0"/>
    <n v="0"/>
    <n v="0"/>
    <n v="0"/>
    <n v="0"/>
    <n v="0"/>
    <n v="0"/>
  </r>
  <r>
    <m/>
    <x v="15"/>
    <m/>
    <m/>
    <m/>
    <d v="1900-04-01T00:00:00"/>
    <n v="0"/>
    <n v="0"/>
    <n v="0"/>
    <n v="22"/>
    <n v="0"/>
    <n v="0"/>
    <n v="0"/>
    <n v="0"/>
    <n v="0"/>
    <n v="0"/>
    <n v="0"/>
    <n v="0"/>
    <n v="0"/>
  </r>
  <r>
    <m/>
    <x v="15"/>
    <m/>
    <m/>
    <m/>
    <d v="1900-05-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15"/>
    <x v="16"/>
    <d v="2025-08-15T00:00:00"/>
    <s v="Batch 3"/>
    <n v="5.4619999999999997"/>
    <d v="2025-09-01T00:00:00"/>
    <n v="5.4619999999999997"/>
    <n v="0.38200000000000001"/>
    <n v="10929"/>
    <n v="22"/>
    <n v="0.371"/>
    <n v="213.77123999999964"/>
    <n v="3840.89"/>
    <n v="422.5"/>
    <n v="208.72876000000036"/>
    <n v="31.31"/>
    <n v="106.45"/>
    <n v="70.97"/>
    <n v="8.9999999999999993E-3"/>
  </r>
  <r>
    <m/>
    <x v="16"/>
    <m/>
    <m/>
    <m/>
    <d v="2025-10-01T00:00:00"/>
    <n v="5.4710000000000001"/>
    <n v="0.38300000000000001"/>
    <n v="12115"/>
    <n v="22"/>
    <n v="0.372"/>
    <n v="237.93859999999989"/>
    <n v="4268.84"/>
    <n v="469.57"/>
    <n v="231.6314000000001"/>
    <n v="34.74"/>
    <n v="118.13"/>
    <n v="78.760000000000005"/>
    <n v="8.9999999999999993E-3"/>
  </r>
  <r>
    <m/>
    <x v="16"/>
    <m/>
    <m/>
    <m/>
    <d v="2025-11-01T00:00:00"/>
    <n v="5.48"/>
    <n v="0.38400000000000001"/>
    <n v="12490"/>
    <n v="22"/>
    <n v="0.372"/>
    <n v="233.8127999999995"/>
    <n v="4412.47"/>
    <n v="485.37"/>
    <n v="251.55720000000051"/>
    <n v="37.729999999999997"/>
    <n v="128.30000000000001"/>
    <n v="85.53"/>
    <n v="8.9999999999999993E-3"/>
  </r>
  <r>
    <m/>
    <x v="16"/>
    <m/>
    <m/>
    <m/>
    <d v="2025-12-01T00:00:00"/>
    <n v="5.4889999999999999"/>
    <n v="0.38400000000000001"/>
    <n v="13220"/>
    <n v="22"/>
    <n v="0.372"/>
    <n v="247.47839999999945"/>
    <n v="4670.3599999999997"/>
    <n v="513.74"/>
    <n v="266.26160000000056"/>
    <n v="39.94"/>
    <n v="135.79"/>
    <n v="90.53"/>
    <n v="8.9999999999999993E-3"/>
  </r>
  <r>
    <m/>
    <x v="16"/>
    <m/>
    <m/>
    <m/>
    <d v="2026-01-01T00:00:00"/>
    <n v="5.4980000000000002"/>
    <n v="0.38500000000000001"/>
    <n v="13790"/>
    <n v="22"/>
    <n v="0.373"/>
    <n v="259.25199999999978"/>
    <n v="4884.42"/>
    <n v="537.29"/>
    <n v="278.03800000000018"/>
    <n v="41.71"/>
    <n v="141.80000000000001"/>
    <n v="94.53"/>
    <n v="8.9999999999999993E-3"/>
  </r>
  <r>
    <m/>
    <x v="16"/>
    <m/>
    <m/>
    <m/>
    <d v="2026-02-01T00:00:00"/>
    <n v="5.5069999999999997"/>
    <n v="0.38500000000000001"/>
    <n v="15760"/>
    <n v="22"/>
    <n v="0.373"/>
    <n v="296.28799999999973"/>
    <n v="5582.19"/>
    <n v="614.04"/>
    <n v="317.75200000000024"/>
    <n v="47.66"/>
    <n v="162.06"/>
    <n v="108.04"/>
    <n v="8.9999999999999993E-3"/>
  </r>
  <r>
    <m/>
    <x v="16"/>
    <m/>
    <m/>
    <m/>
    <d v="2026-03-01T00:00:00"/>
    <n v="5.516"/>
    <n v="0.38600000000000001"/>
    <n v="17200"/>
    <n v="22"/>
    <n v="0.374"/>
    <n v="324.73599999999919"/>
    <n v="6108.06"/>
    <n v="671.89"/>
    <n v="347.15400000000079"/>
    <n v="52.07"/>
    <n v="177.05"/>
    <n v="118.03"/>
    <n v="8.9999999999999993E-3"/>
  </r>
  <r>
    <m/>
    <x v="16"/>
    <m/>
    <m/>
    <m/>
    <d v="2026-04-01T00:00:00"/>
    <n v="5.5250000000000004"/>
    <n v="0.38700000000000001"/>
    <n v="15450"/>
    <n v="22"/>
    <n v="0.375"/>
    <n v="292.93199999999962"/>
    <n v="5500.82"/>
    <n v="605.09"/>
    <n v="312.15800000000041"/>
    <n v="46.82"/>
    <n v="159.19999999999999"/>
    <n v="106.14"/>
    <n v="8.9999999999999993E-3"/>
  </r>
  <r>
    <m/>
    <x v="16"/>
    <m/>
    <m/>
    <m/>
    <d v="1899-12-30T00:00:00"/>
    <n v="0"/>
    <n v="0"/>
    <n v="0"/>
    <n v="22"/>
    <n v="0"/>
    <n v="0"/>
    <n v="0"/>
    <n v="0"/>
    <n v="0"/>
    <n v="0"/>
    <n v="0"/>
    <n v="0"/>
    <n v="0"/>
  </r>
  <r>
    <m/>
    <x v="16"/>
    <m/>
    <m/>
    <m/>
    <d v="1900-01-31T00:00:00"/>
    <n v="0"/>
    <n v="0"/>
    <n v="0"/>
    <n v="22"/>
    <n v="0"/>
    <n v="0"/>
    <n v="0"/>
    <n v="0"/>
    <n v="0"/>
    <n v="0"/>
    <n v="0"/>
    <n v="0"/>
    <n v="0"/>
  </r>
  <r>
    <m/>
    <x v="16"/>
    <m/>
    <m/>
    <m/>
    <d v="1900-03-01T00:00:00"/>
    <n v="0"/>
    <n v="0"/>
    <n v="0"/>
    <n v="22"/>
    <n v="0"/>
    <n v="0"/>
    <n v="0"/>
    <n v="0"/>
    <n v="0"/>
    <n v="0"/>
    <n v="0"/>
    <n v="0"/>
    <n v="0"/>
  </r>
  <r>
    <m/>
    <x v="16"/>
    <m/>
    <m/>
    <m/>
    <d v="1900-04-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16"/>
    <x v="17"/>
    <d v="2025-11-25T00:00:00"/>
    <s v="Batch 3"/>
    <n v="3.5009999999999999"/>
    <d v="2025-12-01T00:00:00"/>
    <n v="3.5009999999999999"/>
    <n v="0.245"/>
    <n v="13220"/>
    <n v="22"/>
    <n v="0.23799999999999999"/>
    <n v="166.57199999999963"/>
    <n v="2979.79"/>
    <n v="327.78"/>
    <n v="161.20800000000034"/>
    <n v="24.18"/>
    <n v="82.22"/>
    <n v="54.81"/>
    <n v="6.0000000000000001E-3"/>
  </r>
  <r>
    <m/>
    <x v="17"/>
    <m/>
    <m/>
    <m/>
    <d v="2026-01-01T00:00:00"/>
    <n v="3.5070000000000001"/>
    <n v="0.245"/>
    <n v="13790"/>
    <n v="22"/>
    <n v="0.23799999999999999"/>
    <n v="173.75399999999962"/>
    <n v="3108.27"/>
    <n v="341.91"/>
    <n v="168.1560000000004"/>
    <n v="25.22"/>
    <n v="85.76"/>
    <n v="57.17"/>
    <n v="6.0000000000000001E-3"/>
  </r>
  <r>
    <m/>
    <x v="17"/>
    <m/>
    <m/>
    <m/>
    <d v="2026-02-01T00:00:00"/>
    <n v="3.5129999999999999"/>
    <n v="0.246"/>
    <n v="15760"/>
    <n v="22"/>
    <n v="0.23899999999999999"/>
    <n v="199.83679999999995"/>
    <n v="3566.8"/>
    <n v="392.35"/>
    <n v="192.51320000000007"/>
    <n v="28.88"/>
    <n v="98.18"/>
    <n v="65.45"/>
    <n v="6.0000000000000001E-3"/>
  </r>
  <r>
    <m/>
    <x v="17"/>
    <m/>
    <m/>
    <m/>
    <d v="2026-03-01T00:00:00"/>
    <n v="3.5190000000000001"/>
    <n v="0.246"/>
    <n v="17200"/>
    <n v="22"/>
    <n v="0.23899999999999999"/>
    <n v="218.09599999999995"/>
    <n v="3892.7"/>
    <n v="428.2"/>
    <n v="210.10400000000004"/>
    <n v="31.52"/>
    <n v="107.15"/>
    <n v="71.430000000000007"/>
    <n v="6.0000000000000001E-3"/>
  </r>
  <r>
    <m/>
    <x v="17"/>
    <m/>
    <m/>
    <m/>
    <d v="2026-04-01T00:00:00"/>
    <n v="3.5249999999999999"/>
    <n v="0.247"/>
    <n v="15450"/>
    <n v="22"/>
    <n v="0.24"/>
    <n v="197.14199999999991"/>
    <n v="3510.86"/>
    <n v="386.19"/>
    <n v="189.04800000000009"/>
    <n v="28.36"/>
    <n v="96.41"/>
    <n v="64.28"/>
    <n v="6.0000000000000001E-3"/>
  </r>
  <r>
    <m/>
    <x v="17"/>
    <m/>
    <m/>
    <m/>
    <d v="1899-12-30T00:00:00"/>
    <n v="0"/>
    <n v="0"/>
    <n v="0"/>
    <n v="22"/>
    <n v="0"/>
    <n v="0"/>
    <n v="0"/>
    <n v="0"/>
    <n v="0"/>
    <n v="0"/>
    <n v="0"/>
    <n v="0"/>
    <n v="0"/>
  </r>
  <r>
    <m/>
    <x v="17"/>
    <m/>
    <m/>
    <m/>
    <d v="1900-01-31T00:00:00"/>
    <n v="0"/>
    <n v="0"/>
    <n v="0"/>
    <n v="22"/>
    <n v="0"/>
    <n v="0"/>
    <n v="0"/>
    <n v="0"/>
    <n v="0"/>
    <n v="0"/>
    <n v="0"/>
    <n v="0"/>
    <n v="0"/>
  </r>
  <r>
    <m/>
    <x v="17"/>
    <m/>
    <m/>
    <m/>
    <d v="1900-03-01T00:00:00"/>
    <n v="0"/>
    <n v="0"/>
    <n v="0"/>
    <n v="22"/>
    <n v="0"/>
    <n v="0"/>
    <n v="0"/>
    <n v="0"/>
    <n v="0"/>
    <n v="0"/>
    <n v="0"/>
    <n v="0"/>
    <n v="0"/>
  </r>
  <r>
    <m/>
    <x v="17"/>
    <m/>
    <m/>
    <m/>
    <d v="1900-04-01T00:00:00"/>
    <n v="0"/>
    <n v="0"/>
    <n v="0"/>
    <n v="22"/>
    <n v="0"/>
    <n v="0"/>
    <n v="0"/>
    <n v="0"/>
    <n v="0"/>
    <n v="0"/>
    <n v="0"/>
    <n v="0"/>
    <n v="0"/>
  </r>
  <r>
    <m/>
    <x v="17"/>
    <m/>
    <m/>
    <m/>
    <d v="1900-05-01T00:00:00"/>
    <n v="0"/>
    <n v="0"/>
    <n v="0"/>
    <n v="22"/>
    <n v="0"/>
    <n v="0"/>
    <n v="0"/>
    <n v="0"/>
    <n v="0"/>
    <n v="0"/>
    <n v="0"/>
    <n v="0"/>
    <n v="0"/>
  </r>
  <r>
    <m/>
    <x v="17"/>
    <m/>
    <m/>
    <m/>
    <d v="1900-06-01T00:00:00"/>
    <n v="0"/>
    <n v="0"/>
    <n v="0"/>
    <n v="22"/>
    <n v="0"/>
    <n v="0"/>
    <n v="0"/>
    <n v="0"/>
    <n v="0"/>
    <n v="0"/>
    <n v="0"/>
    <n v="0"/>
    <n v="0"/>
  </r>
  <r>
    <m/>
    <x v="17"/>
    <m/>
    <m/>
    <m/>
    <d v="1900-07-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17"/>
    <x v="18"/>
    <d v="1899-12-30T00:00:00"/>
    <s v="Batch 3"/>
    <n v="0"/>
    <d v="1900-01-31T00:00:00"/>
    <n v="0"/>
    <n v="0"/>
    <n v="0"/>
    <n v="22"/>
    <n v="0"/>
    <n v="0"/>
    <n v="0"/>
    <n v="0"/>
    <n v="0"/>
    <n v="0"/>
    <n v="0"/>
    <n v="0"/>
    <n v="0"/>
  </r>
  <r>
    <m/>
    <x v="18"/>
    <m/>
    <m/>
    <m/>
    <d v="1900-03-01T00:00:00"/>
    <n v="0"/>
    <n v="0"/>
    <n v="0"/>
    <n v="22"/>
    <n v="0"/>
    <n v="0"/>
    <n v="0"/>
    <n v="0"/>
    <n v="0"/>
    <n v="0"/>
    <n v="0"/>
    <n v="0"/>
    <n v="0"/>
  </r>
  <r>
    <m/>
    <x v="18"/>
    <m/>
    <m/>
    <m/>
    <d v="1900-04-01T00:00:00"/>
    <n v="0"/>
    <n v="0"/>
    <n v="0"/>
    <n v="22"/>
    <n v="0"/>
    <n v="0"/>
    <n v="0"/>
    <n v="0"/>
    <n v="0"/>
    <n v="0"/>
    <n v="0"/>
    <n v="0"/>
    <n v="0"/>
  </r>
  <r>
    <m/>
    <x v="18"/>
    <m/>
    <m/>
    <m/>
    <d v="1900-05-01T00:00:00"/>
    <n v="0"/>
    <n v="0"/>
    <n v="0"/>
    <n v="22"/>
    <n v="0"/>
    <n v="0"/>
    <n v="0"/>
    <n v="0"/>
    <n v="0"/>
    <n v="0"/>
    <n v="0"/>
    <n v="0"/>
    <n v="0"/>
  </r>
  <r>
    <m/>
    <x v="18"/>
    <m/>
    <m/>
    <m/>
    <d v="1900-06-01T00:00:00"/>
    <n v="0"/>
    <n v="0"/>
    <n v="0"/>
    <n v="22"/>
    <n v="0"/>
    <n v="0"/>
    <n v="0"/>
    <n v="0"/>
    <n v="0"/>
    <n v="0"/>
    <n v="0"/>
    <n v="0"/>
    <n v="0"/>
  </r>
  <r>
    <m/>
    <x v="18"/>
    <m/>
    <m/>
    <m/>
    <d v="1900-07-01T00:00:00"/>
    <n v="0"/>
    <n v="0"/>
    <n v="0"/>
    <n v="22"/>
    <n v="0"/>
    <n v="0"/>
    <n v="0"/>
    <n v="0"/>
    <n v="0"/>
    <n v="0"/>
    <n v="0"/>
    <n v="0"/>
    <n v="0"/>
  </r>
  <r>
    <m/>
    <x v="18"/>
    <m/>
    <m/>
    <m/>
    <d v="1900-08-01T00:00:00"/>
    <n v="0"/>
    <n v="0"/>
    <n v="0"/>
    <n v="22"/>
    <n v="0"/>
    <n v="0"/>
    <n v="0"/>
    <n v="0"/>
    <n v="0"/>
    <n v="0"/>
    <n v="0"/>
    <n v="0"/>
    <n v="0"/>
  </r>
  <r>
    <m/>
    <x v="18"/>
    <m/>
    <m/>
    <m/>
    <d v="1900-09-01T00:00:00"/>
    <n v="0"/>
    <n v="0"/>
    <n v="0"/>
    <n v="22"/>
    <n v="0"/>
    <n v="0"/>
    <n v="0"/>
    <n v="0"/>
    <n v="0"/>
    <n v="0"/>
    <n v="0"/>
    <n v="0"/>
    <n v="0"/>
  </r>
  <r>
    <m/>
    <x v="18"/>
    <m/>
    <m/>
    <m/>
    <d v="1900-10-01T00:00:00"/>
    <n v="0"/>
    <n v="0"/>
    <n v="0"/>
    <n v="22"/>
    <n v="0"/>
    <n v="0"/>
    <n v="0"/>
    <n v="0"/>
    <n v="0"/>
    <n v="0"/>
    <n v="0"/>
    <n v="0"/>
    <n v="0"/>
  </r>
  <r>
    <m/>
    <x v="18"/>
    <m/>
    <m/>
    <m/>
    <d v="1900-11-01T00:00:00"/>
    <n v="0"/>
    <n v="0"/>
    <n v="0"/>
    <n v="22"/>
    <n v="0"/>
    <n v="0"/>
    <n v="0"/>
    <n v="0"/>
    <n v="0"/>
    <n v="0"/>
    <n v="0"/>
    <n v="0"/>
    <n v="0"/>
  </r>
  <r>
    <m/>
    <x v="18"/>
    <m/>
    <m/>
    <m/>
    <d v="1900-12-01T00:00:00"/>
    <n v="0"/>
    <n v="0"/>
    <n v="0"/>
    <n v="22"/>
    <n v="0"/>
    <n v="0"/>
    <n v="0"/>
    <n v="0"/>
    <n v="0"/>
    <n v="0"/>
    <n v="0"/>
    <n v="0"/>
    <n v="0"/>
  </r>
  <r>
    <m/>
    <x v="18"/>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18"/>
    <x v="19"/>
    <d v="1899-12-30T00:00:00"/>
    <s v="Batch 3"/>
    <n v="0"/>
    <d v="1900-01-31T00:00:00"/>
    <n v="0"/>
    <n v="0"/>
    <n v="0"/>
    <n v="22"/>
    <n v="0"/>
    <n v="0"/>
    <n v="0"/>
    <n v="0"/>
    <n v="0"/>
    <n v="0"/>
    <n v="0"/>
    <n v="0"/>
    <n v="0"/>
  </r>
  <r>
    <m/>
    <x v="19"/>
    <m/>
    <m/>
    <m/>
    <d v="1900-03-01T00:00:00"/>
    <n v="0"/>
    <n v="0"/>
    <n v="0"/>
    <n v="22"/>
    <n v="0"/>
    <n v="0"/>
    <n v="0"/>
    <n v="0"/>
    <n v="0"/>
    <n v="0"/>
    <n v="0"/>
    <n v="0"/>
    <n v="0"/>
  </r>
  <r>
    <m/>
    <x v="19"/>
    <m/>
    <m/>
    <m/>
    <d v="1900-04-01T00:00:00"/>
    <n v="0"/>
    <n v="0"/>
    <n v="0"/>
    <n v="22"/>
    <n v="0"/>
    <n v="0"/>
    <n v="0"/>
    <n v="0"/>
    <n v="0"/>
    <n v="0"/>
    <n v="0"/>
    <n v="0"/>
    <n v="0"/>
  </r>
  <r>
    <m/>
    <x v="19"/>
    <m/>
    <m/>
    <m/>
    <d v="1900-05-01T00:00:00"/>
    <n v="0"/>
    <n v="0"/>
    <n v="0"/>
    <n v="22"/>
    <n v="0"/>
    <n v="0"/>
    <n v="0"/>
    <n v="0"/>
    <n v="0"/>
    <n v="0"/>
    <n v="0"/>
    <n v="0"/>
    <n v="0"/>
  </r>
  <r>
    <m/>
    <x v="19"/>
    <m/>
    <m/>
    <m/>
    <d v="1900-06-01T00:00:00"/>
    <n v="0"/>
    <n v="0"/>
    <n v="0"/>
    <n v="22"/>
    <n v="0"/>
    <n v="0"/>
    <n v="0"/>
    <n v="0"/>
    <n v="0"/>
    <n v="0"/>
    <n v="0"/>
    <n v="0"/>
    <n v="0"/>
  </r>
  <r>
    <m/>
    <x v="19"/>
    <m/>
    <m/>
    <m/>
    <d v="1900-07-01T00:00:00"/>
    <n v="0"/>
    <n v="0"/>
    <n v="0"/>
    <n v="22"/>
    <n v="0"/>
    <n v="0"/>
    <n v="0"/>
    <n v="0"/>
    <n v="0"/>
    <n v="0"/>
    <n v="0"/>
    <n v="0"/>
    <n v="0"/>
  </r>
  <r>
    <m/>
    <x v="19"/>
    <m/>
    <m/>
    <m/>
    <d v="1900-08-01T00:00:00"/>
    <n v="0"/>
    <n v="0"/>
    <n v="0"/>
    <n v="22"/>
    <n v="0"/>
    <n v="0"/>
    <n v="0"/>
    <n v="0"/>
    <n v="0"/>
    <n v="0"/>
    <n v="0"/>
    <n v="0"/>
    <n v="0"/>
  </r>
  <r>
    <m/>
    <x v="19"/>
    <m/>
    <m/>
    <m/>
    <d v="1900-09-01T00:00:00"/>
    <n v="0"/>
    <n v="0"/>
    <n v="0"/>
    <n v="22"/>
    <n v="0"/>
    <n v="0"/>
    <n v="0"/>
    <n v="0"/>
    <n v="0"/>
    <n v="0"/>
    <n v="0"/>
    <n v="0"/>
    <n v="0"/>
  </r>
  <r>
    <m/>
    <x v="19"/>
    <m/>
    <m/>
    <m/>
    <d v="1900-10-01T00:00:00"/>
    <n v="0"/>
    <n v="0"/>
    <n v="0"/>
    <n v="22"/>
    <n v="0"/>
    <n v="0"/>
    <n v="0"/>
    <n v="0"/>
    <n v="0"/>
    <n v="0"/>
    <n v="0"/>
    <n v="0"/>
    <n v="0"/>
  </r>
  <r>
    <m/>
    <x v="19"/>
    <m/>
    <m/>
    <m/>
    <d v="1900-11-01T00:00:00"/>
    <n v="0"/>
    <n v="0"/>
    <n v="0"/>
    <n v="22"/>
    <n v="0"/>
    <n v="0"/>
    <n v="0"/>
    <n v="0"/>
    <n v="0"/>
    <n v="0"/>
    <n v="0"/>
    <n v="0"/>
    <n v="0"/>
  </r>
  <r>
    <m/>
    <x v="19"/>
    <m/>
    <m/>
    <m/>
    <d v="1900-12-01T00:00:00"/>
    <n v="0"/>
    <n v="0"/>
    <n v="0"/>
    <n v="22"/>
    <n v="0"/>
    <n v="0"/>
    <n v="0"/>
    <n v="0"/>
    <n v="0"/>
    <n v="0"/>
    <n v="0"/>
    <n v="0"/>
    <n v="0"/>
  </r>
  <r>
    <m/>
    <x v="19"/>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19"/>
    <x v="20"/>
    <d v="1899-12-30T00:00:00"/>
    <s v="Batch 3"/>
    <n v="0"/>
    <d v="1900-01-31T00:00:00"/>
    <n v="0"/>
    <n v="0"/>
    <n v="0"/>
    <n v="22"/>
    <n v="0"/>
    <n v="0"/>
    <n v="0"/>
    <n v="0"/>
    <n v="0"/>
    <n v="0"/>
    <n v="0"/>
    <n v="0"/>
    <n v="0"/>
  </r>
  <r>
    <m/>
    <x v="20"/>
    <m/>
    <m/>
    <m/>
    <d v="1900-03-01T00:00:00"/>
    <n v="0"/>
    <n v="0"/>
    <n v="0"/>
    <n v="22"/>
    <n v="0"/>
    <n v="0"/>
    <n v="0"/>
    <n v="0"/>
    <n v="0"/>
    <n v="0"/>
    <n v="0"/>
    <n v="0"/>
    <n v="0"/>
  </r>
  <r>
    <m/>
    <x v="20"/>
    <m/>
    <m/>
    <m/>
    <d v="1900-04-01T00:00:00"/>
    <n v="0"/>
    <n v="0"/>
    <n v="0"/>
    <n v="22"/>
    <n v="0"/>
    <n v="0"/>
    <n v="0"/>
    <n v="0"/>
    <n v="0"/>
    <n v="0"/>
    <n v="0"/>
    <n v="0"/>
    <n v="0"/>
  </r>
  <r>
    <m/>
    <x v="20"/>
    <m/>
    <m/>
    <m/>
    <d v="1900-05-01T00:00:00"/>
    <n v="0"/>
    <n v="0"/>
    <n v="0"/>
    <n v="22"/>
    <n v="0"/>
    <n v="0"/>
    <n v="0"/>
    <n v="0"/>
    <n v="0"/>
    <n v="0"/>
    <n v="0"/>
    <n v="0"/>
    <n v="0"/>
  </r>
  <r>
    <m/>
    <x v="20"/>
    <m/>
    <m/>
    <m/>
    <d v="1900-06-01T00:00:00"/>
    <n v="0"/>
    <n v="0"/>
    <n v="0"/>
    <n v="22"/>
    <n v="0"/>
    <n v="0"/>
    <n v="0"/>
    <n v="0"/>
    <n v="0"/>
    <n v="0"/>
    <n v="0"/>
    <n v="0"/>
    <n v="0"/>
  </r>
  <r>
    <m/>
    <x v="20"/>
    <m/>
    <m/>
    <m/>
    <d v="1900-07-01T00:00:00"/>
    <n v="0"/>
    <n v="0"/>
    <n v="0"/>
    <n v="22"/>
    <n v="0"/>
    <n v="0"/>
    <n v="0"/>
    <n v="0"/>
    <n v="0"/>
    <n v="0"/>
    <n v="0"/>
    <n v="0"/>
    <n v="0"/>
  </r>
  <r>
    <m/>
    <x v="20"/>
    <m/>
    <m/>
    <m/>
    <d v="1900-08-01T00:00:00"/>
    <n v="0"/>
    <n v="0"/>
    <n v="0"/>
    <n v="22"/>
    <n v="0"/>
    <n v="0"/>
    <n v="0"/>
    <n v="0"/>
    <n v="0"/>
    <n v="0"/>
    <n v="0"/>
    <n v="0"/>
    <n v="0"/>
  </r>
  <r>
    <m/>
    <x v="20"/>
    <m/>
    <m/>
    <m/>
    <d v="1900-09-01T00:00:00"/>
    <n v="0"/>
    <n v="0"/>
    <n v="0"/>
    <n v="22"/>
    <n v="0"/>
    <n v="0"/>
    <n v="0"/>
    <n v="0"/>
    <n v="0"/>
    <n v="0"/>
    <n v="0"/>
    <n v="0"/>
    <n v="0"/>
  </r>
  <r>
    <m/>
    <x v="20"/>
    <m/>
    <m/>
    <m/>
    <d v="1900-10-01T00:00:00"/>
    <n v="0"/>
    <n v="0"/>
    <n v="0"/>
    <n v="22"/>
    <n v="0"/>
    <n v="0"/>
    <n v="0"/>
    <n v="0"/>
    <n v="0"/>
    <n v="0"/>
    <n v="0"/>
    <n v="0"/>
    <n v="0"/>
  </r>
  <r>
    <m/>
    <x v="20"/>
    <m/>
    <m/>
    <m/>
    <d v="1900-11-01T00:00:00"/>
    <n v="0"/>
    <n v="0"/>
    <n v="0"/>
    <n v="22"/>
    <n v="0"/>
    <n v="0"/>
    <n v="0"/>
    <n v="0"/>
    <n v="0"/>
    <n v="0"/>
    <n v="0"/>
    <n v="0"/>
    <n v="0"/>
  </r>
  <r>
    <m/>
    <x v="20"/>
    <m/>
    <m/>
    <m/>
    <d v="1900-12-01T00:00:00"/>
    <n v="0"/>
    <n v="0"/>
    <n v="0"/>
    <n v="22"/>
    <n v="0"/>
    <n v="0"/>
    <n v="0"/>
    <n v="0"/>
    <n v="0"/>
    <n v="0"/>
    <n v="0"/>
    <n v="0"/>
    <n v="0"/>
  </r>
  <r>
    <m/>
    <x v="20"/>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0"/>
    <x v="21"/>
    <d v="2025-12-26T00:00:00"/>
    <s v="Batch 3"/>
    <n v="25.231000000000002"/>
    <d v="2026-01-01T00:00:00"/>
    <n v="25.231000000000002"/>
    <n v="1.766"/>
    <n v="13790"/>
    <n v="22"/>
    <n v="1.7130000000000001"/>
    <n v="1217.3811999999989"/>
    <n v="22404.89"/>
    <n v="2464.54"/>
    <n v="1247.1588000000011"/>
    <n v="187.07"/>
    <n v="636.04999999999995"/>
    <n v="424.04"/>
    <n v="4.2000000000000003E-2"/>
  </r>
  <r>
    <m/>
    <x v="21"/>
    <m/>
    <m/>
    <m/>
    <d v="2026-02-01T00:00:00"/>
    <n v="25.273"/>
    <n v="1.7689999999999999"/>
    <n v="15760"/>
    <n v="22"/>
    <n v="1.716"/>
    <n v="1395.0751999999989"/>
    <n v="25649.08"/>
    <n v="2821.4"/>
    <n v="1426.3248000000012"/>
    <n v="213.95"/>
    <n v="727.42"/>
    <n v="484.95"/>
    <n v="4.2000000000000003E-2"/>
  </r>
  <r>
    <m/>
    <x v="21"/>
    <m/>
    <m/>
    <m/>
    <d v="2026-03-01T00:00:00"/>
    <n v="25.315000000000001"/>
    <n v="1.772"/>
    <n v="17200"/>
    <n v="22"/>
    <n v="1.7190000000000001"/>
    <n v="1526.6719999999991"/>
    <n v="28040.13"/>
    <n v="3084.41"/>
    <n v="1557.7380000000007"/>
    <n v="233.66"/>
    <n v="794.45"/>
    <n v="529.63"/>
    <n v="4.2000000000000003E-2"/>
  </r>
  <r>
    <m/>
    <x v="21"/>
    <m/>
    <m/>
    <m/>
    <d v="2026-04-01T00:00:00"/>
    <n v="25.356999999999999"/>
    <n v="1.7749999999999999"/>
    <n v="15450"/>
    <n v="22"/>
    <n v="1.722"/>
    <n v="1375.0499999999995"/>
    <n v="25229.85"/>
    <n v="2775.28"/>
    <n v="1400.2300000000007"/>
    <n v="210.03"/>
    <n v="714.12"/>
    <n v="476.08"/>
    <n v="4.2999999999999997E-2"/>
  </r>
  <r>
    <m/>
    <x v="21"/>
    <m/>
    <m/>
    <m/>
    <d v="1899-12-30T00:00:00"/>
    <n v="0"/>
    <n v="0"/>
    <n v="0"/>
    <n v="22"/>
    <n v="0"/>
    <n v="0"/>
    <n v="0"/>
    <n v="0"/>
    <n v="0"/>
    <n v="0"/>
    <n v="0"/>
    <n v="0"/>
    <n v="0"/>
  </r>
  <r>
    <m/>
    <x v="21"/>
    <m/>
    <m/>
    <m/>
    <d v="1900-01-31T00:00:00"/>
    <n v="0"/>
    <n v="0"/>
    <n v="0"/>
    <n v="22"/>
    <n v="0"/>
    <n v="0"/>
    <n v="0"/>
    <n v="0"/>
    <n v="0"/>
    <n v="0"/>
    <n v="0"/>
    <n v="0"/>
    <n v="0"/>
  </r>
  <r>
    <m/>
    <x v="21"/>
    <m/>
    <m/>
    <m/>
    <d v="1900-03-01T00:00:00"/>
    <n v="0"/>
    <n v="0"/>
    <n v="0"/>
    <n v="22"/>
    <n v="0"/>
    <n v="0"/>
    <n v="0"/>
    <n v="0"/>
    <n v="0"/>
    <n v="0"/>
    <n v="0"/>
    <n v="0"/>
    <n v="0"/>
  </r>
  <r>
    <m/>
    <x v="21"/>
    <m/>
    <m/>
    <m/>
    <d v="1900-04-01T00:00:00"/>
    <n v="0"/>
    <n v="0"/>
    <n v="0"/>
    <n v="22"/>
    <n v="0"/>
    <n v="0"/>
    <n v="0"/>
    <n v="0"/>
    <n v="0"/>
    <n v="0"/>
    <n v="0"/>
    <n v="0"/>
    <n v="0"/>
  </r>
  <r>
    <m/>
    <x v="21"/>
    <m/>
    <m/>
    <m/>
    <d v="1900-05-01T00:00:00"/>
    <n v="0"/>
    <n v="0"/>
    <n v="0"/>
    <n v="22"/>
    <n v="0"/>
    <n v="0"/>
    <n v="0"/>
    <n v="0"/>
    <n v="0"/>
    <n v="0"/>
    <n v="0"/>
    <n v="0"/>
    <n v="0"/>
  </r>
  <r>
    <m/>
    <x v="21"/>
    <m/>
    <m/>
    <m/>
    <d v="1900-06-01T00:00:00"/>
    <n v="0"/>
    <n v="0"/>
    <n v="0"/>
    <n v="22"/>
    <n v="0"/>
    <n v="0"/>
    <n v="0"/>
    <n v="0"/>
    <n v="0"/>
    <n v="0"/>
    <n v="0"/>
    <n v="0"/>
    <n v="0"/>
  </r>
  <r>
    <m/>
    <x v="21"/>
    <m/>
    <m/>
    <m/>
    <d v="1900-07-01T00:00:00"/>
    <n v="0"/>
    <n v="0"/>
    <n v="0"/>
    <n v="22"/>
    <n v="0"/>
    <n v="0"/>
    <n v="0"/>
    <n v="0"/>
    <n v="0"/>
    <n v="0"/>
    <n v="0"/>
    <n v="0"/>
    <n v="0"/>
  </r>
  <r>
    <m/>
    <x v="21"/>
    <m/>
    <m/>
    <m/>
    <d v="1900-08-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1"/>
    <x v="22"/>
    <d v="1899-12-30T00:00:00"/>
    <s v="Batch 3"/>
    <n v="0"/>
    <d v="1900-01-31T00:00:00"/>
    <n v="0"/>
    <n v="0"/>
    <n v="0"/>
    <n v="22"/>
    <n v="0"/>
    <n v="0"/>
    <n v="0"/>
    <n v="0"/>
    <n v="0"/>
    <n v="0"/>
    <n v="0"/>
    <n v="0"/>
    <n v="0"/>
  </r>
  <r>
    <m/>
    <x v="22"/>
    <m/>
    <m/>
    <m/>
    <d v="1900-03-01T00:00:00"/>
    <n v="0"/>
    <n v="0"/>
    <n v="0"/>
    <n v="22"/>
    <n v="0"/>
    <n v="0"/>
    <n v="0"/>
    <n v="0"/>
    <n v="0"/>
    <n v="0"/>
    <n v="0"/>
    <n v="0"/>
    <n v="0"/>
  </r>
  <r>
    <m/>
    <x v="22"/>
    <m/>
    <m/>
    <m/>
    <d v="1900-04-01T00:00:00"/>
    <n v="0"/>
    <n v="0"/>
    <n v="0"/>
    <n v="22"/>
    <n v="0"/>
    <n v="0"/>
    <n v="0"/>
    <n v="0"/>
    <n v="0"/>
    <n v="0"/>
    <n v="0"/>
    <n v="0"/>
    <n v="0"/>
  </r>
  <r>
    <m/>
    <x v="22"/>
    <m/>
    <m/>
    <m/>
    <d v="1900-05-01T00:00:00"/>
    <n v="0"/>
    <n v="0"/>
    <n v="0"/>
    <n v="22"/>
    <n v="0"/>
    <n v="0"/>
    <n v="0"/>
    <n v="0"/>
    <n v="0"/>
    <n v="0"/>
    <n v="0"/>
    <n v="0"/>
    <n v="0"/>
  </r>
  <r>
    <m/>
    <x v="22"/>
    <m/>
    <m/>
    <m/>
    <d v="1900-06-01T00:00:00"/>
    <n v="0"/>
    <n v="0"/>
    <n v="0"/>
    <n v="22"/>
    <n v="0"/>
    <n v="0"/>
    <n v="0"/>
    <n v="0"/>
    <n v="0"/>
    <n v="0"/>
    <n v="0"/>
    <n v="0"/>
    <n v="0"/>
  </r>
  <r>
    <m/>
    <x v="22"/>
    <m/>
    <m/>
    <m/>
    <d v="1900-07-01T00:00:00"/>
    <n v="0"/>
    <n v="0"/>
    <n v="0"/>
    <n v="22"/>
    <n v="0"/>
    <n v="0"/>
    <n v="0"/>
    <n v="0"/>
    <n v="0"/>
    <n v="0"/>
    <n v="0"/>
    <n v="0"/>
    <n v="0"/>
  </r>
  <r>
    <m/>
    <x v="22"/>
    <m/>
    <m/>
    <m/>
    <d v="1900-08-01T00:00:00"/>
    <n v="0"/>
    <n v="0"/>
    <n v="0"/>
    <n v="22"/>
    <n v="0"/>
    <n v="0"/>
    <n v="0"/>
    <n v="0"/>
    <n v="0"/>
    <n v="0"/>
    <n v="0"/>
    <n v="0"/>
    <n v="0"/>
  </r>
  <r>
    <m/>
    <x v="22"/>
    <m/>
    <m/>
    <m/>
    <d v="1900-09-01T00:00:00"/>
    <n v="0"/>
    <n v="0"/>
    <n v="0"/>
    <n v="22"/>
    <n v="0"/>
    <n v="0"/>
    <n v="0"/>
    <n v="0"/>
    <n v="0"/>
    <n v="0"/>
    <n v="0"/>
    <n v="0"/>
    <n v="0"/>
  </r>
  <r>
    <m/>
    <x v="22"/>
    <m/>
    <m/>
    <m/>
    <d v="1900-10-01T00:00:00"/>
    <n v="0"/>
    <n v="0"/>
    <n v="0"/>
    <n v="22"/>
    <n v="0"/>
    <n v="0"/>
    <n v="0"/>
    <n v="0"/>
    <n v="0"/>
    <n v="0"/>
    <n v="0"/>
    <n v="0"/>
    <n v="0"/>
  </r>
  <r>
    <m/>
    <x v="22"/>
    <m/>
    <m/>
    <m/>
    <d v="1900-11-01T00:00:00"/>
    <n v="0"/>
    <n v="0"/>
    <n v="0"/>
    <n v="22"/>
    <n v="0"/>
    <n v="0"/>
    <n v="0"/>
    <n v="0"/>
    <n v="0"/>
    <n v="0"/>
    <n v="0"/>
    <n v="0"/>
    <n v="0"/>
  </r>
  <r>
    <m/>
    <x v="22"/>
    <m/>
    <m/>
    <m/>
    <d v="1900-12-01T00:00:00"/>
    <n v="0"/>
    <n v="0"/>
    <n v="0"/>
    <n v="22"/>
    <n v="0"/>
    <n v="0"/>
    <n v="0"/>
    <n v="0"/>
    <n v="0"/>
    <n v="0"/>
    <n v="0"/>
    <n v="0"/>
    <n v="0"/>
  </r>
  <r>
    <m/>
    <x v="22"/>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2"/>
    <x v="23"/>
    <d v="1899-12-30T00:00:00"/>
    <s v="Batch 3"/>
    <n v="0"/>
    <d v="1900-01-31T00:00:00"/>
    <n v="0"/>
    <n v="0"/>
    <n v="0"/>
    <n v="22"/>
    <n v="0"/>
    <n v="0"/>
    <n v="0"/>
    <n v="0"/>
    <n v="0"/>
    <n v="0"/>
    <n v="0"/>
    <n v="0"/>
    <n v="0"/>
  </r>
  <r>
    <m/>
    <x v="23"/>
    <m/>
    <m/>
    <m/>
    <d v="1900-03-01T00:00:00"/>
    <n v="0"/>
    <n v="0"/>
    <n v="0"/>
    <n v="22"/>
    <n v="0"/>
    <n v="0"/>
    <n v="0"/>
    <n v="0"/>
    <n v="0"/>
    <n v="0"/>
    <n v="0"/>
    <n v="0"/>
    <n v="0"/>
  </r>
  <r>
    <m/>
    <x v="23"/>
    <m/>
    <m/>
    <m/>
    <d v="1900-04-01T00:00:00"/>
    <n v="0"/>
    <n v="0"/>
    <n v="0"/>
    <n v="22"/>
    <n v="0"/>
    <n v="0"/>
    <n v="0"/>
    <n v="0"/>
    <n v="0"/>
    <n v="0"/>
    <n v="0"/>
    <n v="0"/>
    <n v="0"/>
  </r>
  <r>
    <m/>
    <x v="23"/>
    <m/>
    <m/>
    <m/>
    <d v="1900-05-01T00:00:00"/>
    <n v="0"/>
    <n v="0"/>
    <n v="0"/>
    <n v="22"/>
    <n v="0"/>
    <n v="0"/>
    <n v="0"/>
    <n v="0"/>
    <n v="0"/>
    <n v="0"/>
    <n v="0"/>
    <n v="0"/>
    <n v="0"/>
  </r>
  <r>
    <m/>
    <x v="23"/>
    <m/>
    <m/>
    <m/>
    <d v="1900-06-01T00:00:00"/>
    <n v="0"/>
    <n v="0"/>
    <n v="0"/>
    <n v="22"/>
    <n v="0"/>
    <n v="0"/>
    <n v="0"/>
    <n v="0"/>
    <n v="0"/>
    <n v="0"/>
    <n v="0"/>
    <n v="0"/>
    <n v="0"/>
  </r>
  <r>
    <m/>
    <x v="23"/>
    <m/>
    <m/>
    <m/>
    <d v="1900-07-01T00:00:00"/>
    <n v="0"/>
    <n v="0"/>
    <n v="0"/>
    <n v="22"/>
    <n v="0"/>
    <n v="0"/>
    <n v="0"/>
    <n v="0"/>
    <n v="0"/>
    <n v="0"/>
    <n v="0"/>
    <n v="0"/>
    <n v="0"/>
  </r>
  <r>
    <m/>
    <x v="23"/>
    <m/>
    <m/>
    <m/>
    <d v="1900-08-01T00:00:00"/>
    <n v="0"/>
    <n v="0"/>
    <n v="0"/>
    <n v="22"/>
    <n v="0"/>
    <n v="0"/>
    <n v="0"/>
    <n v="0"/>
    <n v="0"/>
    <n v="0"/>
    <n v="0"/>
    <n v="0"/>
    <n v="0"/>
  </r>
  <r>
    <m/>
    <x v="23"/>
    <m/>
    <m/>
    <m/>
    <d v="1900-09-01T00:00:00"/>
    <n v="0"/>
    <n v="0"/>
    <n v="0"/>
    <n v="22"/>
    <n v="0"/>
    <n v="0"/>
    <n v="0"/>
    <n v="0"/>
    <n v="0"/>
    <n v="0"/>
    <n v="0"/>
    <n v="0"/>
    <n v="0"/>
  </r>
  <r>
    <m/>
    <x v="23"/>
    <m/>
    <m/>
    <m/>
    <d v="1900-10-01T00:00:00"/>
    <n v="0"/>
    <n v="0"/>
    <n v="0"/>
    <n v="22"/>
    <n v="0"/>
    <n v="0"/>
    <n v="0"/>
    <n v="0"/>
    <n v="0"/>
    <n v="0"/>
    <n v="0"/>
    <n v="0"/>
    <n v="0"/>
  </r>
  <r>
    <m/>
    <x v="23"/>
    <m/>
    <m/>
    <m/>
    <d v="1900-11-01T00:00:00"/>
    <n v="0"/>
    <n v="0"/>
    <n v="0"/>
    <n v="22"/>
    <n v="0"/>
    <n v="0"/>
    <n v="0"/>
    <n v="0"/>
    <n v="0"/>
    <n v="0"/>
    <n v="0"/>
    <n v="0"/>
    <n v="0"/>
  </r>
  <r>
    <m/>
    <x v="23"/>
    <m/>
    <m/>
    <m/>
    <d v="1900-12-01T00:00:00"/>
    <n v="0"/>
    <n v="0"/>
    <n v="0"/>
    <n v="22"/>
    <n v="0"/>
    <n v="0"/>
    <n v="0"/>
    <n v="0"/>
    <n v="0"/>
    <n v="0"/>
    <n v="0"/>
    <n v="0"/>
    <n v="0"/>
  </r>
  <r>
    <m/>
    <x v="23"/>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3"/>
    <x v="24"/>
    <d v="1899-12-30T00:00:00"/>
    <s v="Batch 3"/>
    <n v="0"/>
    <d v="1900-01-31T00:00:00"/>
    <n v="0"/>
    <n v="0"/>
    <n v="0"/>
    <n v="22"/>
    <n v="0"/>
    <n v="0"/>
    <n v="0"/>
    <n v="0"/>
    <n v="0"/>
    <n v="0"/>
    <n v="0"/>
    <n v="0"/>
    <n v="0"/>
  </r>
  <r>
    <m/>
    <x v="24"/>
    <m/>
    <m/>
    <m/>
    <d v="1900-03-01T00:00:00"/>
    <n v="0"/>
    <n v="0"/>
    <n v="0"/>
    <n v="22"/>
    <n v="0"/>
    <n v="0"/>
    <n v="0"/>
    <n v="0"/>
    <n v="0"/>
    <n v="0"/>
    <n v="0"/>
    <n v="0"/>
    <n v="0"/>
  </r>
  <r>
    <m/>
    <x v="24"/>
    <m/>
    <m/>
    <m/>
    <d v="1900-04-01T00:00:00"/>
    <n v="0"/>
    <n v="0"/>
    <n v="0"/>
    <n v="22"/>
    <n v="0"/>
    <n v="0"/>
    <n v="0"/>
    <n v="0"/>
    <n v="0"/>
    <n v="0"/>
    <n v="0"/>
    <n v="0"/>
    <n v="0"/>
  </r>
  <r>
    <m/>
    <x v="24"/>
    <m/>
    <m/>
    <m/>
    <d v="1900-05-01T00:00:00"/>
    <n v="0"/>
    <n v="0"/>
    <n v="0"/>
    <n v="22"/>
    <n v="0"/>
    <n v="0"/>
    <n v="0"/>
    <n v="0"/>
    <n v="0"/>
    <n v="0"/>
    <n v="0"/>
    <n v="0"/>
    <n v="0"/>
  </r>
  <r>
    <m/>
    <x v="24"/>
    <m/>
    <m/>
    <m/>
    <d v="1900-06-01T00:00:00"/>
    <n v="0"/>
    <n v="0"/>
    <n v="0"/>
    <n v="22"/>
    <n v="0"/>
    <n v="0"/>
    <n v="0"/>
    <n v="0"/>
    <n v="0"/>
    <n v="0"/>
    <n v="0"/>
    <n v="0"/>
    <n v="0"/>
  </r>
  <r>
    <m/>
    <x v="24"/>
    <m/>
    <m/>
    <m/>
    <d v="1900-07-01T00:00:00"/>
    <n v="0"/>
    <n v="0"/>
    <n v="0"/>
    <n v="22"/>
    <n v="0"/>
    <n v="0"/>
    <n v="0"/>
    <n v="0"/>
    <n v="0"/>
    <n v="0"/>
    <n v="0"/>
    <n v="0"/>
    <n v="0"/>
  </r>
  <r>
    <m/>
    <x v="24"/>
    <m/>
    <m/>
    <m/>
    <d v="1900-08-01T00:00:00"/>
    <n v="0"/>
    <n v="0"/>
    <n v="0"/>
    <n v="22"/>
    <n v="0"/>
    <n v="0"/>
    <n v="0"/>
    <n v="0"/>
    <n v="0"/>
    <n v="0"/>
    <n v="0"/>
    <n v="0"/>
    <n v="0"/>
  </r>
  <r>
    <m/>
    <x v="24"/>
    <m/>
    <m/>
    <m/>
    <d v="1900-09-01T00:00:00"/>
    <n v="0"/>
    <n v="0"/>
    <n v="0"/>
    <n v="22"/>
    <n v="0"/>
    <n v="0"/>
    <n v="0"/>
    <n v="0"/>
    <n v="0"/>
    <n v="0"/>
    <n v="0"/>
    <n v="0"/>
    <n v="0"/>
  </r>
  <r>
    <m/>
    <x v="24"/>
    <m/>
    <m/>
    <m/>
    <d v="1900-10-01T00:00:00"/>
    <n v="0"/>
    <n v="0"/>
    <n v="0"/>
    <n v="22"/>
    <n v="0"/>
    <n v="0"/>
    <n v="0"/>
    <n v="0"/>
    <n v="0"/>
    <n v="0"/>
    <n v="0"/>
    <n v="0"/>
    <n v="0"/>
  </r>
  <r>
    <m/>
    <x v="24"/>
    <m/>
    <m/>
    <m/>
    <d v="1900-11-01T00:00:00"/>
    <n v="0"/>
    <n v="0"/>
    <n v="0"/>
    <n v="22"/>
    <n v="0"/>
    <n v="0"/>
    <n v="0"/>
    <n v="0"/>
    <n v="0"/>
    <n v="0"/>
    <n v="0"/>
    <n v="0"/>
    <n v="0"/>
  </r>
  <r>
    <m/>
    <x v="24"/>
    <m/>
    <m/>
    <m/>
    <d v="1900-12-01T00:00:00"/>
    <n v="0"/>
    <n v="0"/>
    <n v="0"/>
    <n v="22"/>
    <n v="0"/>
    <n v="0"/>
    <n v="0"/>
    <n v="0"/>
    <n v="0"/>
    <n v="0"/>
    <n v="0"/>
    <n v="0"/>
    <n v="0"/>
  </r>
  <r>
    <m/>
    <x v="24"/>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4"/>
    <x v="25"/>
    <d v="1899-12-30T00:00:00"/>
    <s v="Batch 3"/>
    <n v="0"/>
    <d v="1900-01-31T00:00:00"/>
    <n v="0"/>
    <n v="0"/>
    <n v="0"/>
    <n v="22"/>
    <n v="0"/>
    <n v="0"/>
    <n v="0"/>
    <n v="0"/>
    <n v="0"/>
    <n v="0"/>
    <n v="0"/>
    <n v="0"/>
    <n v="0"/>
  </r>
  <r>
    <m/>
    <x v="25"/>
    <m/>
    <m/>
    <m/>
    <d v="1900-03-01T00:00:00"/>
    <n v="0"/>
    <n v="0"/>
    <n v="0"/>
    <n v="22"/>
    <n v="0"/>
    <n v="0"/>
    <n v="0"/>
    <n v="0"/>
    <n v="0"/>
    <n v="0"/>
    <n v="0"/>
    <n v="0"/>
    <n v="0"/>
  </r>
  <r>
    <m/>
    <x v="25"/>
    <m/>
    <m/>
    <m/>
    <d v="1900-04-01T00:00:00"/>
    <n v="0"/>
    <n v="0"/>
    <n v="0"/>
    <n v="22"/>
    <n v="0"/>
    <n v="0"/>
    <n v="0"/>
    <n v="0"/>
    <n v="0"/>
    <n v="0"/>
    <n v="0"/>
    <n v="0"/>
    <n v="0"/>
  </r>
  <r>
    <m/>
    <x v="25"/>
    <m/>
    <m/>
    <m/>
    <d v="1900-05-01T00:00:00"/>
    <n v="0"/>
    <n v="0"/>
    <n v="0"/>
    <n v="22"/>
    <n v="0"/>
    <n v="0"/>
    <n v="0"/>
    <n v="0"/>
    <n v="0"/>
    <n v="0"/>
    <n v="0"/>
    <n v="0"/>
    <n v="0"/>
  </r>
  <r>
    <m/>
    <x v="25"/>
    <m/>
    <m/>
    <m/>
    <d v="1900-06-01T00:00:00"/>
    <n v="0"/>
    <n v="0"/>
    <n v="0"/>
    <n v="22"/>
    <n v="0"/>
    <n v="0"/>
    <n v="0"/>
    <n v="0"/>
    <n v="0"/>
    <n v="0"/>
    <n v="0"/>
    <n v="0"/>
    <n v="0"/>
  </r>
  <r>
    <m/>
    <x v="25"/>
    <m/>
    <m/>
    <m/>
    <d v="1900-07-01T00:00:00"/>
    <n v="0"/>
    <n v="0"/>
    <n v="0"/>
    <n v="22"/>
    <n v="0"/>
    <n v="0"/>
    <n v="0"/>
    <n v="0"/>
    <n v="0"/>
    <n v="0"/>
    <n v="0"/>
    <n v="0"/>
    <n v="0"/>
  </r>
  <r>
    <m/>
    <x v="25"/>
    <m/>
    <m/>
    <m/>
    <d v="1900-08-01T00:00:00"/>
    <n v="0"/>
    <n v="0"/>
    <n v="0"/>
    <n v="22"/>
    <n v="0"/>
    <n v="0"/>
    <n v="0"/>
    <n v="0"/>
    <n v="0"/>
    <n v="0"/>
    <n v="0"/>
    <n v="0"/>
    <n v="0"/>
  </r>
  <r>
    <m/>
    <x v="25"/>
    <m/>
    <m/>
    <m/>
    <d v="1900-09-01T00:00:00"/>
    <n v="0"/>
    <n v="0"/>
    <n v="0"/>
    <n v="22"/>
    <n v="0"/>
    <n v="0"/>
    <n v="0"/>
    <n v="0"/>
    <n v="0"/>
    <n v="0"/>
    <n v="0"/>
    <n v="0"/>
    <n v="0"/>
  </r>
  <r>
    <m/>
    <x v="25"/>
    <m/>
    <m/>
    <m/>
    <d v="1900-10-01T00:00:00"/>
    <n v="0"/>
    <n v="0"/>
    <n v="0"/>
    <n v="22"/>
    <n v="0"/>
    <n v="0"/>
    <n v="0"/>
    <n v="0"/>
    <n v="0"/>
    <n v="0"/>
    <n v="0"/>
    <n v="0"/>
    <n v="0"/>
  </r>
  <r>
    <m/>
    <x v="25"/>
    <m/>
    <m/>
    <m/>
    <d v="1900-11-01T00:00:00"/>
    <n v="0"/>
    <n v="0"/>
    <n v="0"/>
    <n v="22"/>
    <n v="0"/>
    <n v="0"/>
    <n v="0"/>
    <n v="0"/>
    <n v="0"/>
    <n v="0"/>
    <n v="0"/>
    <n v="0"/>
    <n v="0"/>
  </r>
  <r>
    <m/>
    <x v="25"/>
    <m/>
    <m/>
    <m/>
    <d v="1900-12-01T00:00:00"/>
    <n v="0"/>
    <n v="0"/>
    <n v="0"/>
    <n v="22"/>
    <n v="0"/>
    <n v="0"/>
    <n v="0"/>
    <n v="0"/>
    <n v="0"/>
    <n v="0"/>
    <n v="0"/>
    <n v="0"/>
    <n v="0"/>
  </r>
  <r>
    <m/>
    <x v="25"/>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5"/>
    <x v="26"/>
    <d v="1899-12-30T00:00:00"/>
    <s v="Batch 3"/>
    <n v="0"/>
    <d v="1900-01-31T00:00:00"/>
    <n v="0"/>
    <n v="0"/>
    <n v="0"/>
    <n v="22"/>
    <n v="0"/>
    <n v="0"/>
    <n v="0"/>
    <n v="0"/>
    <n v="0"/>
    <n v="0"/>
    <n v="0"/>
    <n v="0"/>
    <n v="0"/>
  </r>
  <r>
    <m/>
    <x v="26"/>
    <m/>
    <m/>
    <m/>
    <d v="1900-03-01T00:00:00"/>
    <n v="0"/>
    <n v="0"/>
    <n v="0"/>
    <n v="22"/>
    <n v="0"/>
    <n v="0"/>
    <n v="0"/>
    <n v="0"/>
    <n v="0"/>
    <n v="0"/>
    <n v="0"/>
    <n v="0"/>
    <n v="0"/>
  </r>
  <r>
    <m/>
    <x v="26"/>
    <m/>
    <m/>
    <m/>
    <d v="1900-04-01T00:00:00"/>
    <n v="0"/>
    <n v="0"/>
    <n v="0"/>
    <n v="22"/>
    <n v="0"/>
    <n v="0"/>
    <n v="0"/>
    <n v="0"/>
    <n v="0"/>
    <n v="0"/>
    <n v="0"/>
    <n v="0"/>
    <n v="0"/>
  </r>
  <r>
    <m/>
    <x v="26"/>
    <m/>
    <m/>
    <m/>
    <d v="1900-05-01T00:00:00"/>
    <n v="0"/>
    <n v="0"/>
    <n v="0"/>
    <n v="22"/>
    <n v="0"/>
    <n v="0"/>
    <n v="0"/>
    <n v="0"/>
    <n v="0"/>
    <n v="0"/>
    <n v="0"/>
    <n v="0"/>
    <n v="0"/>
  </r>
  <r>
    <m/>
    <x v="26"/>
    <m/>
    <m/>
    <m/>
    <d v="1900-06-01T00:00:00"/>
    <n v="0"/>
    <n v="0"/>
    <n v="0"/>
    <n v="22"/>
    <n v="0"/>
    <n v="0"/>
    <n v="0"/>
    <n v="0"/>
    <n v="0"/>
    <n v="0"/>
    <n v="0"/>
    <n v="0"/>
    <n v="0"/>
  </r>
  <r>
    <m/>
    <x v="26"/>
    <m/>
    <m/>
    <m/>
    <d v="1900-07-01T00:00:00"/>
    <n v="0"/>
    <n v="0"/>
    <n v="0"/>
    <n v="22"/>
    <n v="0"/>
    <n v="0"/>
    <n v="0"/>
    <n v="0"/>
    <n v="0"/>
    <n v="0"/>
    <n v="0"/>
    <n v="0"/>
    <n v="0"/>
  </r>
  <r>
    <m/>
    <x v="26"/>
    <m/>
    <m/>
    <m/>
    <d v="1900-08-01T00:00:00"/>
    <n v="0"/>
    <n v="0"/>
    <n v="0"/>
    <n v="22"/>
    <n v="0"/>
    <n v="0"/>
    <n v="0"/>
    <n v="0"/>
    <n v="0"/>
    <n v="0"/>
    <n v="0"/>
    <n v="0"/>
    <n v="0"/>
  </r>
  <r>
    <m/>
    <x v="26"/>
    <m/>
    <m/>
    <m/>
    <d v="1900-09-01T00:00:00"/>
    <n v="0"/>
    <n v="0"/>
    <n v="0"/>
    <n v="22"/>
    <n v="0"/>
    <n v="0"/>
    <n v="0"/>
    <n v="0"/>
    <n v="0"/>
    <n v="0"/>
    <n v="0"/>
    <n v="0"/>
    <n v="0"/>
  </r>
  <r>
    <m/>
    <x v="26"/>
    <m/>
    <m/>
    <m/>
    <d v="1900-10-01T00:00:00"/>
    <n v="0"/>
    <n v="0"/>
    <n v="0"/>
    <n v="22"/>
    <n v="0"/>
    <n v="0"/>
    <n v="0"/>
    <n v="0"/>
    <n v="0"/>
    <n v="0"/>
    <n v="0"/>
    <n v="0"/>
    <n v="0"/>
  </r>
  <r>
    <m/>
    <x v="26"/>
    <m/>
    <m/>
    <m/>
    <d v="1900-11-01T00:00:00"/>
    <n v="0"/>
    <n v="0"/>
    <n v="0"/>
    <n v="22"/>
    <n v="0"/>
    <n v="0"/>
    <n v="0"/>
    <n v="0"/>
    <n v="0"/>
    <n v="0"/>
    <n v="0"/>
    <n v="0"/>
    <n v="0"/>
  </r>
  <r>
    <m/>
    <x v="26"/>
    <m/>
    <m/>
    <m/>
    <d v="1900-12-01T00:00:00"/>
    <n v="0"/>
    <n v="0"/>
    <n v="0"/>
    <n v="22"/>
    <n v="0"/>
    <n v="0"/>
    <n v="0"/>
    <n v="0"/>
    <n v="0"/>
    <n v="0"/>
    <n v="0"/>
    <n v="0"/>
    <n v="0"/>
  </r>
  <r>
    <m/>
    <x v="26"/>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6"/>
    <x v="27"/>
    <d v="1899-12-30T00:00:00"/>
    <s v="Batch 3"/>
    <n v="0"/>
    <d v="1900-01-31T00:00:00"/>
    <n v="0"/>
    <n v="0"/>
    <n v="0"/>
    <n v="22"/>
    <n v="0"/>
    <n v="0"/>
    <n v="0"/>
    <n v="0"/>
    <n v="0"/>
    <n v="0"/>
    <n v="0"/>
    <n v="0"/>
    <n v="0"/>
  </r>
  <r>
    <m/>
    <x v="27"/>
    <m/>
    <m/>
    <m/>
    <d v="1900-03-01T00:00:00"/>
    <n v="0"/>
    <n v="0"/>
    <n v="0"/>
    <n v="22"/>
    <n v="0"/>
    <n v="0"/>
    <n v="0"/>
    <n v="0"/>
    <n v="0"/>
    <n v="0"/>
    <n v="0"/>
    <n v="0"/>
    <n v="0"/>
  </r>
  <r>
    <m/>
    <x v="27"/>
    <m/>
    <m/>
    <m/>
    <d v="1900-04-01T00:00:00"/>
    <n v="0"/>
    <n v="0"/>
    <n v="0"/>
    <n v="22"/>
    <n v="0"/>
    <n v="0"/>
    <n v="0"/>
    <n v="0"/>
    <n v="0"/>
    <n v="0"/>
    <n v="0"/>
    <n v="0"/>
    <n v="0"/>
  </r>
  <r>
    <m/>
    <x v="27"/>
    <m/>
    <m/>
    <m/>
    <d v="1900-05-01T00:00:00"/>
    <n v="0"/>
    <n v="0"/>
    <n v="0"/>
    <n v="22"/>
    <n v="0"/>
    <n v="0"/>
    <n v="0"/>
    <n v="0"/>
    <n v="0"/>
    <n v="0"/>
    <n v="0"/>
    <n v="0"/>
    <n v="0"/>
  </r>
  <r>
    <m/>
    <x v="27"/>
    <m/>
    <m/>
    <m/>
    <d v="1900-06-01T00:00:00"/>
    <n v="0"/>
    <n v="0"/>
    <n v="0"/>
    <n v="22"/>
    <n v="0"/>
    <n v="0"/>
    <n v="0"/>
    <n v="0"/>
    <n v="0"/>
    <n v="0"/>
    <n v="0"/>
    <n v="0"/>
    <n v="0"/>
  </r>
  <r>
    <m/>
    <x v="27"/>
    <m/>
    <m/>
    <m/>
    <d v="1900-07-01T00:00:00"/>
    <n v="0"/>
    <n v="0"/>
    <n v="0"/>
    <n v="22"/>
    <n v="0"/>
    <n v="0"/>
    <n v="0"/>
    <n v="0"/>
    <n v="0"/>
    <n v="0"/>
    <n v="0"/>
    <n v="0"/>
    <n v="0"/>
  </r>
  <r>
    <m/>
    <x v="27"/>
    <m/>
    <m/>
    <m/>
    <d v="1900-08-01T00:00:00"/>
    <n v="0"/>
    <n v="0"/>
    <n v="0"/>
    <n v="22"/>
    <n v="0"/>
    <n v="0"/>
    <n v="0"/>
    <n v="0"/>
    <n v="0"/>
    <n v="0"/>
    <n v="0"/>
    <n v="0"/>
    <n v="0"/>
  </r>
  <r>
    <m/>
    <x v="27"/>
    <m/>
    <m/>
    <m/>
    <d v="1900-09-01T00:00:00"/>
    <n v="0"/>
    <n v="0"/>
    <n v="0"/>
    <n v="22"/>
    <n v="0"/>
    <n v="0"/>
    <n v="0"/>
    <n v="0"/>
    <n v="0"/>
    <n v="0"/>
    <n v="0"/>
    <n v="0"/>
    <n v="0"/>
  </r>
  <r>
    <m/>
    <x v="27"/>
    <m/>
    <m/>
    <m/>
    <d v="1900-10-01T00:00:00"/>
    <n v="0"/>
    <n v="0"/>
    <n v="0"/>
    <n v="22"/>
    <n v="0"/>
    <n v="0"/>
    <n v="0"/>
    <n v="0"/>
    <n v="0"/>
    <n v="0"/>
    <n v="0"/>
    <n v="0"/>
    <n v="0"/>
  </r>
  <r>
    <m/>
    <x v="27"/>
    <m/>
    <m/>
    <m/>
    <d v="1900-11-01T00:00:00"/>
    <n v="0"/>
    <n v="0"/>
    <n v="0"/>
    <n v="22"/>
    <n v="0"/>
    <n v="0"/>
    <n v="0"/>
    <n v="0"/>
    <n v="0"/>
    <n v="0"/>
    <n v="0"/>
    <n v="0"/>
    <n v="0"/>
  </r>
  <r>
    <m/>
    <x v="27"/>
    <m/>
    <m/>
    <m/>
    <d v="1900-12-01T00:00:00"/>
    <n v="0"/>
    <n v="0"/>
    <n v="0"/>
    <n v="22"/>
    <n v="0"/>
    <n v="0"/>
    <n v="0"/>
    <n v="0"/>
    <n v="0"/>
    <n v="0"/>
    <n v="0"/>
    <n v="0"/>
    <n v="0"/>
  </r>
  <r>
    <m/>
    <x v="27"/>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7"/>
    <x v="28"/>
    <d v="1899-12-30T00:00:00"/>
    <s v="Batch 3"/>
    <n v="0"/>
    <d v="1900-01-31T00:00:00"/>
    <n v="0"/>
    <n v="0"/>
    <n v="0"/>
    <n v="22"/>
    <n v="0"/>
    <n v="0"/>
    <n v="0"/>
    <n v="0"/>
    <n v="0"/>
    <n v="0"/>
    <n v="0"/>
    <n v="0"/>
    <n v="0"/>
  </r>
  <r>
    <m/>
    <x v="28"/>
    <m/>
    <m/>
    <m/>
    <d v="1900-03-01T00:00:00"/>
    <n v="0"/>
    <n v="0"/>
    <n v="0"/>
    <n v="22"/>
    <n v="0"/>
    <n v="0"/>
    <n v="0"/>
    <n v="0"/>
    <n v="0"/>
    <n v="0"/>
    <n v="0"/>
    <n v="0"/>
    <n v="0"/>
  </r>
  <r>
    <m/>
    <x v="28"/>
    <m/>
    <m/>
    <m/>
    <d v="1900-04-01T00:00:00"/>
    <n v="0"/>
    <n v="0"/>
    <n v="0"/>
    <n v="22"/>
    <n v="0"/>
    <n v="0"/>
    <n v="0"/>
    <n v="0"/>
    <n v="0"/>
    <n v="0"/>
    <n v="0"/>
    <n v="0"/>
    <n v="0"/>
  </r>
  <r>
    <m/>
    <x v="28"/>
    <m/>
    <m/>
    <m/>
    <d v="1900-05-01T00:00:00"/>
    <n v="0"/>
    <n v="0"/>
    <n v="0"/>
    <n v="22"/>
    <n v="0"/>
    <n v="0"/>
    <n v="0"/>
    <n v="0"/>
    <n v="0"/>
    <n v="0"/>
    <n v="0"/>
    <n v="0"/>
    <n v="0"/>
  </r>
  <r>
    <m/>
    <x v="28"/>
    <m/>
    <m/>
    <m/>
    <d v="1900-06-01T00:00:00"/>
    <n v="0"/>
    <n v="0"/>
    <n v="0"/>
    <n v="22"/>
    <n v="0"/>
    <n v="0"/>
    <n v="0"/>
    <n v="0"/>
    <n v="0"/>
    <n v="0"/>
    <n v="0"/>
    <n v="0"/>
    <n v="0"/>
  </r>
  <r>
    <m/>
    <x v="28"/>
    <m/>
    <m/>
    <m/>
    <d v="1900-07-01T00:00:00"/>
    <n v="0"/>
    <n v="0"/>
    <n v="0"/>
    <n v="22"/>
    <n v="0"/>
    <n v="0"/>
    <n v="0"/>
    <n v="0"/>
    <n v="0"/>
    <n v="0"/>
    <n v="0"/>
    <n v="0"/>
    <n v="0"/>
  </r>
  <r>
    <m/>
    <x v="28"/>
    <m/>
    <m/>
    <m/>
    <d v="1900-08-01T00:00:00"/>
    <n v="0"/>
    <n v="0"/>
    <n v="0"/>
    <n v="22"/>
    <n v="0"/>
    <n v="0"/>
    <n v="0"/>
    <n v="0"/>
    <n v="0"/>
    <n v="0"/>
    <n v="0"/>
    <n v="0"/>
    <n v="0"/>
  </r>
  <r>
    <m/>
    <x v="28"/>
    <m/>
    <m/>
    <m/>
    <d v="1900-09-01T00:00:00"/>
    <n v="0"/>
    <n v="0"/>
    <n v="0"/>
    <n v="22"/>
    <n v="0"/>
    <n v="0"/>
    <n v="0"/>
    <n v="0"/>
    <n v="0"/>
    <n v="0"/>
    <n v="0"/>
    <n v="0"/>
    <n v="0"/>
  </r>
  <r>
    <m/>
    <x v="28"/>
    <m/>
    <m/>
    <m/>
    <d v="1900-10-01T00:00:00"/>
    <n v="0"/>
    <n v="0"/>
    <n v="0"/>
    <n v="22"/>
    <n v="0"/>
    <n v="0"/>
    <n v="0"/>
    <n v="0"/>
    <n v="0"/>
    <n v="0"/>
    <n v="0"/>
    <n v="0"/>
    <n v="0"/>
  </r>
  <r>
    <m/>
    <x v="28"/>
    <m/>
    <m/>
    <m/>
    <d v="1900-11-01T00:00:00"/>
    <n v="0"/>
    <n v="0"/>
    <n v="0"/>
    <n v="22"/>
    <n v="0"/>
    <n v="0"/>
    <n v="0"/>
    <n v="0"/>
    <n v="0"/>
    <n v="0"/>
    <n v="0"/>
    <n v="0"/>
    <n v="0"/>
  </r>
  <r>
    <m/>
    <x v="28"/>
    <m/>
    <m/>
    <m/>
    <d v="1900-12-01T00:00:00"/>
    <n v="0"/>
    <n v="0"/>
    <n v="0"/>
    <n v="22"/>
    <n v="0"/>
    <n v="0"/>
    <n v="0"/>
    <n v="0"/>
    <n v="0"/>
    <n v="0"/>
    <n v="0"/>
    <n v="0"/>
    <n v="0"/>
  </r>
  <r>
    <m/>
    <x v="28"/>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8"/>
    <x v="29"/>
    <d v="1899-12-30T00:00:00"/>
    <s v="Batch 3"/>
    <n v="0"/>
    <d v="1900-01-31T00:00:00"/>
    <n v="0"/>
    <n v="0"/>
    <n v="0"/>
    <n v="22"/>
    <n v="0"/>
    <n v="0"/>
    <n v="0"/>
    <n v="0"/>
    <n v="0"/>
    <n v="0"/>
    <n v="0"/>
    <n v="0"/>
    <n v="0"/>
  </r>
  <r>
    <m/>
    <x v="29"/>
    <m/>
    <m/>
    <m/>
    <d v="1900-03-01T00:00:00"/>
    <n v="0"/>
    <n v="0"/>
    <n v="0"/>
    <n v="22"/>
    <n v="0"/>
    <n v="0"/>
    <n v="0"/>
    <n v="0"/>
    <n v="0"/>
    <n v="0"/>
    <n v="0"/>
    <n v="0"/>
    <n v="0"/>
  </r>
  <r>
    <m/>
    <x v="29"/>
    <m/>
    <m/>
    <m/>
    <d v="1900-04-01T00:00:00"/>
    <n v="0"/>
    <n v="0"/>
    <n v="0"/>
    <n v="22"/>
    <n v="0"/>
    <n v="0"/>
    <n v="0"/>
    <n v="0"/>
    <n v="0"/>
    <n v="0"/>
    <n v="0"/>
    <n v="0"/>
    <n v="0"/>
  </r>
  <r>
    <m/>
    <x v="29"/>
    <m/>
    <m/>
    <m/>
    <d v="1900-05-01T00:00:00"/>
    <n v="0"/>
    <n v="0"/>
    <n v="0"/>
    <n v="22"/>
    <n v="0"/>
    <n v="0"/>
    <n v="0"/>
    <n v="0"/>
    <n v="0"/>
    <n v="0"/>
    <n v="0"/>
    <n v="0"/>
    <n v="0"/>
  </r>
  <r>
    <m/>
    <x v="29"/>
    <m/>
    <m/>
    <m/>
    <d v="1900-06-01T00:00:00"/>
    <n v="0"/>
    <n v="0"/>
    <n v="0"/>
    <n v="22"/>
    <n v="0"/>
    <n v="0"/>
    <n v="0"/>
    <n v="0"/>
    <n v="0"/>
    <n v="0"/>
    <n v="0"/>
    <n v="0"/>
    <n v="0"/>
  </r>
  <r>
    <m/>
    <x v="29"/>
    <m/>
    <m/>
    <m/>
    <d v="1900-07-01T00:00:00"/>
    <n v="0"/>
    <n v="0"/>
    <n v="0"/>
    <n v="22"/>
    <n v="0"/>
    <n v="0"/>
    <n v="0"/>
    <n v="0"/>
    <n v="0"/>
    <n v="0"/>
    <n v="0"/>
    <n v="0"/>
    <n v="0"/>
  </r>
  <r>
    <m/>
    <x v="29"/>
    <m/>
    <m/>
    <m/>
    <d v="1900-08-01T00:00:00"/>
    <n v="0"/>
    <n v="0"/>
    <n v="0"/>
    <n v="22"/>
    <n v="0"/>
    <n v="0"/>
    <n v="0"/>
    <n v="0"/>
    <n v="0"/>
    <n v="0"/>
    <n v="0"/>
    <n v="0"/>
    <n v="0"/>
  </r>
  <r>
    <m/>
    <x v="29"/>
    <m/>
    <m/>
    <m/>
    <d v="1900-09-01T00:00:00"/>
    <n v="0"/>
    <n v="0"/>
    <n v="0"/>
    <n v="22"/>
    <n v="0"/>
    <n v="0"/>
    <n v="0"/>
    <n v="0"/>
    <n v="0"/>
    <n v="0"/>
    <n v="0"/>
    <n v="0"/>
    <n v="0"/>
  </r>
  <r>
    <m/>
    <x v="29"/>
    <m/>
    <m/>
    <m/>
    <d v="1900-10-01T00:00:00"/>
    <n v="0"/>
    <n v="0"/>
    <n v="0"/>
    <n v="22"/>
    <n v="0"/>
    <n v="0"/>
    <n v="0"/>
    <n v="0"/>
    <n v="0"/>
    <n v="0"/>
    <n v="0"/>
    <n v="0"/>
    <n v="0"/>
  </r>
  <r>
    <m/>
    <x v="29"/>
    <m/>
    <m/>
    <m/>
    <d v="1900-11-01T00:00:00"/>
    <n v="0"/>
    <n v="0"/>
    <n v="0"/>
    <n v="22"/>
    <n v="0"/>
    <n v="0"/>
    <n v="0"/>
    <n v="0"/>
    <n v="0"/>
    <n v="0"/>
    <n v="0"/>
    <n v="0"/>
    <n v="0"/>
  </r>
  <r>
    <m/>
    <x v="29"/>
    <m/>
    <m/>
    <m/>
    <d v="1900-12-01T00:00:00"/>
    <n v="0"/>
    <n v="0"/>
    <n v="0"/>
    <n v="22"/>
    <n v="0"/>
    <n v="0"/>
    <n v="0"/>
    <n v="0"/>
    <n v="0"/>
    <n v="0"/>
    <n v="0"/>
    <n v="0"/>
    <n v="0"/>
  </r>
  <r>
    <m/>
    <x v="29"/>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29"/>
    <x v="30"/>
    <d v="1899-12-30T00:00:00"/>
    <s v="Batch 3"/>
    <n v="0"/>
    <d v="1900-01-31T00:00:00"/>
    <n v="0"/>
    <n v="0"/>
    <n v="0"/>
    <n v="22"/>
    <n v="0"/>
    <n v="0"/>
    <n v="0"/>
    <n v="0"/>
    <n v="0"/>
    <n v="0"/>
    <n v="0"/>
    <n v="0"/>
    <n v="0"/>
  </r>
  <r>
    <m/>
    <x v="30"/>
    <m/>
    <m/>
    <m/>
    <d v="1900-03-01T00:00:00"/>
    <n v="0"/>
    <n v="0"/>
    <n v="0"/>
    <n v="22"/>
    <n v="0"/>
    <n v="0"/>
    <n v="0"/>
    <n v="0"/>
    <n v="0"/>
    <n v="0"/>
    <n v="0"/>
    <n v="0"/>
    <n v="0"/>
  </r>
  <r>
    <m/>
    <x v="30"/>
    <m/>
    <m/>
    <m/>
    <d v="1900-04-01T00:00:00"/>
    <n v="0"/>
    <n v="0"/>
    <n v="0"/>
    <n v="22"/>
    <n v="0"/>
    <n v="0"/>
    <n v="0"/>
    <n v="0"/>
    <n v="0"/>
    <n v="0"/>
    <n v="0"/>
    <n v="0"/>
    <n v="0"/>
  </r>
  <r>
    <m/>
    <x v="30"/>
    <m/>
    <m/>
    <m/>
    <d v="1900-05-01T00:00:00"/>
    <n v="0"/>
    <n v="0"/>
    <n v="0"/>
    <n v="22"/>
    <n v="0"/>
    <n v="0"/>
    <n v="0"/>
    <n v="0"/>
    <n v="0"/>
    <n v="0"/>
    <n v="0"/>
    <n v="0"/>
    <n v="0"/>
  </r>
  <r>
    <m/>
    <x v="30"/>
    <m/>
    <m/>
    <m/>
    <d v="1900-06-01T00:00:00"/>
    <n v="0"/>
    <n v="0"/>
    <n v="0"/>
    <n v="22"/>
    <n v="0"/>
    <n v="0"/>
    <n v="0"/>
    <n v="0"/>
    <n v="0"/>
    <n v="0"/>
    <n v="0"/>
    <n v="0"/>
    <n v="0"/>
  </r>
  <r>
    <m/>
    <x v="30"/>
    <m/>
    <m/>
    <m/>
    <d v="1900-07-01T00:00:00"/>
    <n v="0"/>
    <n v="0"/>
    <n v="0"/>
    <n v="22"/>
    <n v="0"/>
    <n v="0"/>
    <n v="0"/>
    <n v="0"/>
    <n v="0"/>
    <n v="0"/>
    <n v="0"/>
    <n v="0"/>
    <n v="0"/>
  </r>
  <r>
    <m/>
    <x v="30"/>
    <m/>
    <m/>
    <m/>
    <d v="1900-08-01T00:00:00"/>
    <n v="0"/>
    <n v="0"/>
    <n v="0"/>
    <n v="22"/>
    <n v="0"/>
    <n v="0"/>
    <n v="0"/>
    <n v="0"/>
    <n v="0"/>
    <n v="0"/>
    <n v="0"/>
    <n v="0"/>
    <n v="0"/>
  </r>
  <r>
    <m/>
    <x v="30"/>
    <m/>
    <m/>
    <m/>
    <d v="1900-09-01T00:00:00"/>
    <n v="0"/>
    <n v="0"/>
    <n v="0"/>
    <n v="22"/>
    <n v="0"/>
    <n v="0"/>
    <n v="0"/>
    <n v="0"/>
    <n v="0"/>
    <n v="0"/>
    <n v="0"/>
    <n v="0"/>
    <n v="0"/>
  </r>
  <r>
    <m/>
    <x v="30"/>
    <m/>
    <m/>
    <m/>
    <d v="1900-10-01T00:00:00"/>
    <n v="0"/>
    <n v="0"/>
    <n v="0"/>
    <n v="22"/>
    <n v="0"/>
    <n v="0"/>
    <n v="0"/>
    <n v="0"/>
    <n v="0"/>
    <n v="0"/>
    <n v="0"/>
    <n v="0"/>
    <n v="0"/>
  </r>
  <r>
    <m/>
    <x v="30"/>
    <m/>
    <m/>
    <m/>
    <d v="1900-11-01T00:00:00"/>
    <n v="0"/>
    <n v="0"/>
    <n v="0"/>
    <n v="22"/>
    <n v="0"/>
    <n v="0"/>
    <n v="0"/>
    <n v="0"/>
    <n v="0"/>
    <n v="0"/>
    <n v="0"/>
    <n v="0"/>
    <n v="0"/>
  </r>
  <r>
    <m/>
    <x v="30"/>
    <m/>
    <m/>
    <m/>
    <d v="1900-12-01T00:00:00"/>
    <n v="0"/>
    <n v="0"/>
    <n v="0"/>
    <n v="22"/>
    <n v="0"/>
    <n v="0"/>
    <n v="0"/>
    <n v="0"/>
    <n v="0"/>
    <n v="0"/>
    <n v="0"/>
    <n v="0"/>
    <n v="0"/>
  </r>
  <r>
    <m/>
    <x v="30"/>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0"/>
    <x v="31"/>
    <d v="1899-12-30T00:00:00"/>
    <s v="Batch 3"/>
    <n v="0"/>
    <d v="1900-01-31T00:00:00"/>
    <n v="0"/>
    <n v="0"/>
    <n v="0"/>
    <n v="22"/>
    <n v="0"/>
    <n v="0"/>
    <n v="0"/>
    <n v="0"/>
    <n v="0"/>
    <n v="0"/>
    <n v="0"/>
    <n v="0"/>
    <n v="0"/>
  </r>
  <r>
    <m/>
    <x v="31"/>
    <m/>
    <m/>
    <m/>
    <d v="1900-03-01T00:00:00"/>
    <n v="0"/>
    <n v="0"/>
    <n v="0"/>
    <n v="22"/>
    <n v="0"/>
    <n v="0"/>
    <n v="0"/>
    <n v="0"/>
    <n v="0"/>
    <n v="0"/>
    <n v="0"/>
    <n v="0"/>
    <n v="0"/>
  </r>
  <r>
    <m/>
    <x v="31"/>
    <m/>
    <m/>
    <m/>
    <d v="1900-04-01T00:00:00"/>
    <n v="0"/>
    <n v="0"/>
    <n v="0"/>
    <n v="22"/>
    <n v="0"/>
    <n v="0"/>
    <n v="0"/>
    <n v="0"/>
    <n v="0"/>
    <n v="0"/>
    <n v="0"/>
    <n v="0"/>
    <n v="0"/>
  </r>
  <r>
    <m/>
    <x v="31"/>
    <m/>
    <m/>
    <m/>
    <d v="1900-05-01T00:00:00"/>
    <n v="0"/>
    <n v="0"/>
    <n v="0"/>
    <n v="22"/>
    <n v="0"/>
    <n v="0"/>
    <n v="0"/>
    <n v="0"/>
    <n v="0"/>
    <n v="0"/>
    <n v="0"/>
    <n v="0"/>
    <n v="0"/>
  </r>
  <r>
    <m/>
    <x v="31"/>
    <m/>
    <m/>
    <m/>
    <d v="1900-06-01T00:00:00"/>
    <n v="0"/>
    <n v="0"/>
    <n v="0"/>
    <n v="22"/>
    <n v="0"/>
    <n v="0"/>
    <n v="0"/>
    <n v="0"/>
    <n v="0"/>
    <n v="0"/>
    <n v="0"/>
    <n v="0"/>
    <n v="0"/>
  </r>
  <r>
    <m/>
    <x v="31"/>
    <m/>
    <m/>
    <m/>
    <d v="1900-07-01T00:00:00"/>
    <n v="0"/>
    <n v="0"/>
    <n v="0"/>
    <n v="22"/>
    <n v="0"/>
    <n v="0"/>
    <n v="0"/>
    <n v="0"/>
    <n v="0"/>
    <n v="0"/>
    <n v="0"/>
    <n v="0"/>
    <n v="0"/>
  </r>
  <r>
    <m/>
    <x v="31"/>
    <m/>
    <m/>
    <m/>
    <d v="1900-08-01T00:00:00"/>
    <n v="0"/>
    <n v="0"/>
    <n v="0"/>
    <n v="22"/>
    <n v="0"/>
    <n v="0"/>
    <n v="0"/>
    <n v="0"/>
    <n v="0"/>
    <n v="0"/>
    <n v="0"/>
    <n v="0"/>
    <n v="0"/>
  </r>
  <r>
    <m/>
    <x v="31"/>
    <m/>
    <m/>
    <m/>
    <d v="1900-09-01T00:00:00"/>
    <n v="0"/>
    <n v="0"/>
    <n v="0"/>
    <n v="22"/>
    <n v="0"/>
    <n v="0"/>
    <n v="0"/>
    <n v="0"/>
    <n v="0"/>
    <n v="0"/>
    <n v="0"/>
    <n v="0"/>
    <n v="0"/>
  </r>
  <r>
    <m/>
    <x v="31"/>
    <m/>
    <m/>
    <m/>
    <d v="1900-10-01T00:00:00"/>
    <n v="0"/>
    <n v="0"/>
    <n v="0"/>
    <n v="22"/>
    <n v="0"/>
    <n v="0"/>
    <n v="0"/>
    <n v="0"/>
    <n v="0"/>
    <n v="0"/>
    <n v="0"/>
    <n v="0"/>
    <n v="0"/>
  </r>
  <r>
    <m/>
    <x v="31"/>
    <m/>
    <m/>
    <m/>
    <d v="1900-11-01T00:00:00"/>
    <n v="0"/>
    <n v="0"/>
    <n v="0"/>
    <n v="22"/>
    <n v="0"/>
    <n v="0"/>
    <n v="0"/>
    <n v="0"/>
    <n v="0"/>
    <n v="0"/>
    <n v="0"/>
    <n v="0"/>
    <n v="0"/>
  </r>
  <r>
    <m/>
    <x v="31"/>
    <m/>
    <m/>
    <m/>
    <d v="1900-12-01T00:00:00"/>
    <n v="0"/>
    <n v="0"/>
    <n v="0"/>
    <n v="22"/>
    <n v="0"/>
    <n v="0"/>
    <n v="0"/>
    <n v="0"/>
    <n v="0"/>
    <n v="0"/>
    <n v="0"/>
    <n v="0"/>
    <n v="0"/>
  </r>
  <r>
    <m/>
    <x v="31"/>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1"/>
    <x v="32"/>
    <d v="2026-01-20T00:00:00"/>
    <s v="Batch 3"/>
    <n v="33.417999999999999"/>
    <d v="2026-02-01T00:00:00"/>
    <n v="33.417999999999999"/>
    <n v="2.339"/>
    <n v="15760"/>
    <n v="22"/>
    <n v="2.2690000000000001"/>
    <n v="1845.8111999999983"/>
    <n v="33913.629999999997"/>
    <n v="3730.5"/>
    <n v="1884.6888000000017"/>
    <n v="282.7"/>
    <n v="961.19"/>
    <n v="640.79999999999995"/>
    <n v="5.6000000000000001E-2"/>
  </r>
  <r>
    <m/>
    <x v="32"/>
    <m/>
    <m/>
    <m/>
    <d v="2026-03-01T00:00:00"/>
    <n v="33.473999999999997"/>
    <n v="2.343"/>
    <n v="17200"/>
    <n v="22"/>
    <n v="2.2730000000000001"/>
    <n v="2019.9680000000037"/>
    <n v="37075.629999999997"/>
    <n v="4078.32"/>
    <n v="2058.3519999999962"/>
    <n v="308.75"/>
    <n v="1049.76"/>
    <n v="699.84"/>
    <n v="5.6000000000000001E-2"/>
  </r>
  <r>
    <m/>
    <x v="32"/>
    <m/>
    <m/>
    <m/>
    <d v="2026-04-01T00:00:00"/>
    <n v="33.53"/>
    <n v="2.347"/>
    <n v="15450"/>
    <n v="22"/>
    <n v="2.2770000000000001"/>
    <n v="1819.3920000000014"/>
    <n v="33360.26"/>
    <n v="3669.63"/>
    <n v="1850.2379999999987"/>
    <n v="277.54000000000002"/>
    <n v="943.62"/>
    <n v="629.08000000000004"/>
    <n v="5.6000000000000001E-2"/>
  </r>
  <r>
    <m/>
    <x v="32"/>
    <m/>
    <m/>
    <m/>
    <d v="1899-12-30T00:00:00"/>
    <n v="0"/>
    <n v="0"/>
    <n v="0"/>
    <n v="22"/>
    <n v="0"/>
    <n v="0"/>
    <n v="0"/>
    <n v="0"/>
    <n v="0"/>
    <n v="0"/>
    <n v="0"/>
    <n v="0"/>
    <n v="0"/>
  </r>
  <r>
    <m/>
    <x v="32"/>
    <m/>
    <m/>
    <m/>
    <d v="1900-01-31T00:00:00"/>
    <n v="0"/>
    <n v="0"/>
    <n v="0"/>
    <n v="22"/>
    <n v="0"/>
    <n v="0"/>
    <n v="0"/>
    <n v="0"/>
    <n v="0"/>
    <n v="0"/>
    <n v="0"/>
    <n v="0"/>
    <n v="0"/>
  </r>
  <r>
    <m/>
    <x v="32"/>
    <m/>
    <m/>
    <m/>
    <d v="1900-03-01T00:00:00"/>
    <n v="0"/>
    <n v="0"/>
    <n v="0"/>
    <n v="22"/>
    <n v="0"/>
    <n v="0"/>
    <n v="0"/>
    <n v="0"/>
    <n v="0"/>
    <n v="0"/>
    <n v="0"/>
    <n v="0"/>
    <n v="0"/>
  </r>
  <r>
    <m/>
    <x v="32"/>
    <m/>
    <m/>
    <m/>
    <d v="1900-04-01T00:00:00"/>
    <n v="0"/>
    <n v="0"/>
    <n v="0"/>
    <n v="22"/>
    <n v="0"/>
    <n v="0"/>
    <n v="0"/>
    <n v="0"/>
    <n v="0"/>
    <n v="0"/>
    <n v="0"/>
    <n v="0"/>
    <n v="0"/>
  </r>
  <r>
    <m/>
    <x v="32"/>
    <m/>
    <m/>
    <m/>
    <d v="1900-05-01T00:00:00"/>
    <n v="0"/>
    <n v="0"/>
    <n v="0"/>
    <n v="22"/>
    <n v="0"/>
    <n v="0"/>
    <n v="0"/>
    <n v="0"/>
    <n v="0"/>
    <n v="0"/>
    <n v="0"/>
    <n v="0"/>
    <n v="0"/>
  </r>
  <r>
    <m/>
    <x v="32"/>
    <m/>
    <m/>
    <m/>
    <d v="1900-06-01T00:00:00"/>
    <n v="0"/>
    <n v="0"/>
    <n v="0"/>
    <n v="22"/>
    <n v="0"/>
    <n v="0"/>
    <n v="0"/>
    <n v="0"/>
    <n v="0"/>
    <n v="0"/>
    <n v="0"/>
    <n v="0"/>
    <n v="0"/>
  </r>
  <r>
    <m/>
    <x v="32"/>
    <m/>
    <m/>
    <m/>
    <d v="1900-07-01T00:00:00"/>
    <n v="0"/>
    <n v="0"/>
    <n v="0"/>
    <n v="22"/>
    <n v="0"/>
    <n v="0"/>
    <n v="0"/>
    <n v="0"/>
    <n v="0"/>
    <n v="0"/>
    <n v="0"/>
    <n v="0"/>
    <n v="0"/>
  </r>
  <r>
    <m/>
    <x v="32"/>
    <m/>
    <m/>
    <m/>
    <d v="1900-08-01T00:00:00"/>
    <n v="0"/>
    <n v="0"/>
    <n v="0"/>
    <n v="22"/>
    <n v="0"/>
    <n v="0"/>
    <n v="0"/>
    <n v="0"/>
    <n v="0"/>
    <n v="0"/>
    <n v="0"/>
    <n v="0"/>
    <n v="0"/>
  </r>
  <r>
    <m/>
    <x v="32"/>
    <m/>
    <m/>
    <m/>
    <d v="1900-09-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2"/>
    <x v="33"/>
    <d v="1899-12-30T00:00:00"/>
    <s v="Batch 3"/>
    <n v="0"/>
    <d v="1900-01-31T00:00:00"/>
    <n v="0"/>
    <n v="0"/>
    <n v="0"/>
    <n v="22"/>
    <n v="0"/>
    <n v="0"/>
    <n v="0"/>
    <n v="0"/>
    <n v="0"/>
    <n v="0"/>
    <n v="0"/>
    <n v="0"/>
    <n v="0"/>
  </r>
  <r>
    <m/>
    <x v="33"/>
    <m/>
    <m/>
    <m/>
    <d v="1900-03-01T00:00:00"/>
    <n v="0"/>
    <n v="0"/>
    <n v="0"/>
    <n v="22"/>
    <n v="0"/>
    <n v="0"/>
    <n v="0"/>
    <n v="0"/>
    <n v="0"/>
    <n v="0"/>
    <n v="0"/>
    <n v="0"/>
    <n v="0"/>
  </r>
  <r>
    <m/>
    <x v="33"/>
    <m/>
    <m/>
    <m/>
    <d v="1900-04-01T00:00:00"/>
    <n v="0"/>
    <n v="0"/>
    <n v="0"/>
    <n v="22"/>
    <n v="0"/>
    <n v="0"/>
    <n v="0"/>
    <n v="0"/>
    <n v="0"/>
    <n v="0"/>
    <n v="0"/>
    <n v="0"/>
    <n v="0"/>
  </r>
  <r>
    <m/>
    <x v="33"/>
    <m/>
    <m/>
    <m/>
    <d v="1900-05-01T00:00:00"/>
    <n v="0"/>
    <n v="0"/>
    <n v="0"/>
    <n v="22"/>
    <n v="0"/>
    <n v="0"/>
    <n v="0"/>
    <n v="0"/>
    <n v="0"/>
    <n v="0"/>
    <n v="0"/>
    <n v="0"/>
    <n v="0"/>
  </r>
  <r>
    <m/>
    <x v="33"/>
    <m/>
    <m/>
    <m/>
    <d v="1900-06-01T00:00:00"/>
    <n v="0"/>
    <n v="0"/>
    <n v="0"/>
    <n v="22"/>
    <n v="0"/>
    <n v="0"/>
    <n v="0"/>
    <n v="0"/>
    <n v="0"/>
    <n v="0"/>
    <n v="0"/>
    <n v="0"/>
    <n v="0"/>
  </r>
  <r>
    <m/>
    <x v="33"/>
    <m/>
    <m/>
    <m/>
    <d v="1900-07-01T00:00:00"/>
    <n v="0"/>
    <n v="0"/>
    <n v="0"/>
    <n v="22"/>
    <n v="0"/>
    <n v="0"/>
    <n v="0"/>
    <n v="0"/>
    <n v="0"/>
    <n v="0"/>
    <n v="0"/>
    <n v="0"/>
    <n v="0"/>
  </r>
  <r>
    <m/>
    <x v="33"/>
    <m/>
    <m/>
    <m/>
    <d v="1900-08-01T00:00:00"/>
    <n v="0"/>
    <n v="0"/>
    <n v="0"/>
    <n v="22"/>
    <n v="0"/>
    <n v="0"/>
    <n v="0"/>
    <n v="0"/>
    <n v="0"/>
    <n v="0"/>
    <n v="0"/>
    <n v="0"/>
    <n v="0"/>
  </r>
  <r>
    <m/>
    <x v="33"/>
    <m/>
    <m/>
    <m/>
    <d v="1900-09-01T00:00:00"/>
    <n v="0"/>
    <n v="0"/>
    <n v="0"/>
    <n v="22"/>
    <n v="0"/>
    <n v="0"/>
    <n v="0"/>
    <n v="0"/>
    <n v="0"/>
    <n v="0"/>
    <n v="0"/>
    <n v="0"/>
    <n v="0"/>
  </r>
  <r>
    <m/>
    <x v="33"/>
    <m/>
    <m/>
    <m/>
    <d v="1900-10-01T00:00:00"/>
    <n v="0"/>
    <n v="0"/>
    <n v="0"/>
    <n v="22"/>
    <n v="0"/>
    <n v="0"/>
    <n v="0"/>
    <n v="0"/>
    <n v="0"/>
    <n v="0"/>
    <n v="0"/>
    <n v="0"/>
    <n v="0"/>
  </r>
  <r>
    <m/>
    <x v="33"/>
    <m/>
    <m/>
    <m/>
    <d v="1900-11-01T00:00:00"/>
    <n v="0"/>
    <n v="0"/>
    <n v="0"/>
    <n v="22"/>
    <n v="0"/>
    <n v="0"/>
    <n v="0"/>
    <n v="0"/>
    <n v="0"/>
    <n v="0"/>
    <n v="0"/>
    <n v="0"/>
    <n v="0"/>
  </r>
  <r>
    <m/>
    <x v="33"/>
    <m/>
    <m/>
    <m/>
    <d v="1900-12-01T00:00:00"/>
    <n v="0"/>
    <n v="0"/>
    <n v="0"/>
    <n v="22"/>
    <n v="0"/>
    <n v="0"/>
    <n v="0"/>
    <n v="0"/>
    <n v="0"/>
    <n v="0"/>
    <n v="0"/>
    <n v="0"/>
    <n v="0"/>
  </r>
  <r>
    <m/>
    <x v="33"/>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3"/>
    <x v="34"/>
    <d v="2026-01-27T00:00:00"/>
    <s v="Batch 3"/>
    <n v="30.626999999999999"/>
    <d v="2026-02-01T00:00:00"/>
    <n v="30.626999999999999"/>
    <n v="2.1440000000000001"/>
    <n v="15760"/>
    <n v="22"/>
    <n v="2.08"/>
    <n v="1694.5151999999975"/>
    <n v="31086.28"/>
    <n v="3419.49"/>
    <n v="1724.9748000000022"/>
    <n v="258.75"/>
    <n v="879.73"/>
    <n v="586.49"/>
    <n v="5.0999999999999997E-2"/>
  </r>
  <r>
    <m/>
    <x v="34"/>
    <m/>
    <m/>
    <m/>
    <d v="2026-03-01T00:00:00"/>
    <n v="30.678000000000001"/>
    <n v="2.1469999999999998"/>
    <n v="17200"/>
    <n v="22"/>
    <n v="2.0830000000000002"/>
    <n v="1853.4720000000052"/>
    <n v="33974.129999999997"/>
    <n v="3737.15"/>
    <n v="1883.6779999999949"/>
    <n v="282.55"/>
    <n v="960.68"/>
    <n v="640.45000000000005"/>
    <n v="5.0999999999999997E-2"/>
  </r>
  <r>
    <m/>
    <x v="34"/>
    <m/>
    <m/>
    <m/>
    <d v="2026-04-01T00:00:00"/>
    <n v="30.728999999999999"/>
    <n v="2.1509999999999998"/>
    <n v="15450"/>
    <n v="22"/>
    <n v="2.0859999999999999"/>
    <n v="1654.3859999999975"/>
    <n v="30574.31"/>
    <n v="3363.17"/>
    <n v="1708.7840000000026"/>
    <n v="256.32"/>
    <n v="871.48"/>
    <n v="580.99"/>
    <n v="5.1999999999999998E-2"/>
  </r>
  <r>
    <m/>
    <x v="34"/>
    <m/>
    <m/>
    <m/>
    <d v="1899-12-30T00:00:00"/>
    <n v="0"/>
    <n v="0"/>
    <n v="0"/>
    <n v="22"/>
    <n v="0"/>
    <n v="0"/>
    <n v="0"/>
    <n v="0"/>
    <n v="0"/>
    <n v="0"/>
    <n v="0"/>
    <n v="0"/>
    <n v="0"/>
  </r>
  <r>
    <m/>
    <x v="34"/>
    <m/>
    <m/>
    <m/>
    <d v="1900-01-31T00:00:00"/>
    <n v="0"/>
    <n v="0"/>
    <n v="0"/>
    <n v="22"/>
    <n v="0"/>
    <n v="0"/>
    <n v="0"/>
    <n v="0"/>
    <n v="0"/>
    <n v="0"/>
    <n v="0"/>
    <n v="0"/>
    <n v="0"/>
  </r>
  <r>
    <m/>
    <x v="34"/>
    <m/>
    <m/>
    <m/>
    <d v="1900-03-01T00:00:00"/>
    <n v="0"/>
    <n v="0"/>
    <n v="0"/>
    <n v="22"/>
    <n v="0"/>
    <n v="0"/>
    <n v="0"/>
    <n v="0"/>
    <n v="0"/>
    <n v="0"/>
    <n v="0"/>
    <n v="0"/>
    <n v="0"/>
  </r>
  <r>
    <m/>
    <x v="34"/>
    <m/>
    <m/>
    <m/>
    <d v="1900-04-01T00:00:00"/>
    <n v="0"/>
    <n v="0"/>
    <n v="0"/>
    <n v="22"/>
    <n v="0"/>
    <n v="0"/>
    <n v="0"/>
    <n v="0"/>
    <n v="0"/>
    <n v="0"/>
    <n v="0"/>
    <n v="0"/>
    <n v="0"/>
  </r>
  <r>
    <m/>
    <x v="34"/>
    <m/>
    <m/>
    <m/>
    <d v="1900-05-01T00:00:00"/>
    <n v="0"/>
    <n v="0"/>
    <n v="0"/>
    <n v="22"/>
    <n v="0"/>
    <n v="0"/>
    <n v="0"/>
    <n v="0"/>
    <n v="0"/>
    <n v="0"/>
    <n v="0"/>
    <n v="0"/>
    <n v="0"/>
  </r>
  <r>
    <m/>
    <x v="34"/>
    <m/>
    <m/>
    <m/>
    <d v="1900-06-01T00:00:00"/>
    <n v="0"/>
    <n v="0"/>
    <n v="0"/>
    <n v="22"/>
    <n v="0"/>
    <n v="0"/>
    <n v="0"/>
    <n v="0"/>
    <n v="0"/>
    <n v="0"/>
    <n v="0"/>
    <n v="0"/>
    <n v="0"/>
  </r>
  <r>
    <m/>
    <x v="34"/>
    <m/>
    <m/>
    <m/>
    <d v="1900-07-01T00:00:00"/>
    <n v="0"/>
    <n v="0"/>
    <n v="0"/>
    <n v="22"/>
    <n v="0"/>
    <n v="0"/>
    <n v="0"/>
    <n v="0"/>
    <n v="0"/>
    <n v="0"/>
    <n v="0"/>
    <n v="0"/>
    <n v="0"/>
  </r>
  <r>
    <m/>
    <x v="34"/>
    <m/>
    <m/>
    <m/>
    <d v="1900-08-01T00:00:00"/>
    <n v="0"/>
    <n v="0"/>
    <n v="0"/>
    <n v="22"/>
    <n v="0"/>
    <n v="0"/>
    <n v="0"/>
    <n v="0"/>
    <n v="0"/>
    <n v="0"/>
    <n v="0"/>
    <n v="0"/>
    <n v="0"/>
  </r>
  <r>
    <m/>
    <x v="34"/>
    <m/>
    <m/>
    <m/>
    <d v="1900-09-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4"/>
    <x v="35"/>
    <d v="1899-12-30T00:00:00"/>
    <s v="Batch 3"/>
    <n v="0"/>
    <d v="1900-01-31T00:00:00"/>
    <n v="0"/>
    <n v="0"/>
    <n v="0"/>
    <n v="22"/>
    <n v="0"/>
    <n v="0"/>
    <n v="0"/>
    <n v="0"/>
    <n v="0"/>
    <n v="0"/>
    <n v="0"/>
    <n v="0"/>
    <n v="0"/>
  </r>
  <r>
    <m/>
    <x v="35"/>
    <m/>
    <m/>
    <m/>
    <d v="1900-03-01T00:00:00"/>
    <n v="0"/>
    <n v="0"/>
    <n v="0"/>
    <n v="22"/>
    <n v="0"/>
    <n v="0"/>
    <n v="0"/>
    <n v="0"/>
    <n v="0"/>
    <n v="0"/>
    <n v="0"/>
    <n v="0"/>
    <n v="0"/>
  </r>
  <r>
    <m/>
    <x v="35"/>
    <m/>
    <m/>
    <m/>
    <d v="1900-04-01T00:00:00"/>
    <n v="0"/>
    <n v="0"/>
    <n v="0"/>
    <n v="22"/>
    <n v="0"/>
    <n v="0"/>
    <n v="0"/>
    <n v="0"/>
    <n v="0"/>
    <n v="0"/>
    <n v="0"/>
    <n v="0"/>
    <n v="0"/>
  </r>
  <r>
    <m/>
    <x v="35"/>
    <m/>
    <m/>
    <m/>
    <d v="1900-05-01T00:00:00"/>
    <n v="0"/>
    <n v="0"/>
    <n v="0"/>
    <n v="22"/>
    <n v="0"/>
    <n v="0"/>
    <n v="0"/>
    <n v="0"/>
    <n v="0"/>
    <n v="0"/>
    <n v="0"/>
    <n v="0"/>
    <n v="0"/>
  </r>
  <r>
    <m/>
    <x v="35"/>
    <m/>
    <m/>
    <m/>
    <d v="1900-06-01T00:00:00"/>
    <n v="0"/>
    <n v="0"/>
    <n v="0"/>
    <n v="22"/>
    <n v="0"/>
    <n v="0"/>
    <n v="0"/>
    <n v="0"/>
    <n v="0"/>
    <n v="0"/>
    <n v="0"/>
    <n v="0"/>
    <n v="0"/>
  </r>
  <r>
    <m/>
    <x v="35"/>
    <m/>
    <m/>
    <m/>
    <d v="1900-07-01T00:00:00"/>
    <n v="0"/>
    <n v="0"/>
    <n v="0"/>
    <n v="22"/>
    <n v="0"/>
    <n v="0"/>
    <n v="0"/>
    <n v="0"/>
    <n v="0"/>
    <n v="0"/>
    <n v="0"/>
    <n v="0"/>
    <n v="0"/>
  </r>
  <r>
    <m/>
    <x v="35"/>
    <m/>
    <m/>
    <m/>
    <d v="1900-08-01T00:00:00"/>
    <n v="0"/>
    <n v="0"/>
    <n v="0"/>
    <n v="22"/>
    <n v="0"/>
    <n v="0"/>
    <n v="0"/>
    <n v="0"/>
    <n v="0"/>
    <n v="0"/>
    <n v="0"/>
    <n v="0"/>
    <n v="0"/>
  </r>
  <r>
    <m/>
    <x v="35"/>
    <m/>
    <m/>
    <m/>
    <d v="1900-09-01T00:00:00"/>
    <n v="0"/>
    <n v="0"/>
    <n v="0"/>
    <n v="22"/>
    <n v="0"/>
    <n v="0"/>
    <n v="0"/>
    <n v="0"/>
    <n v="0"/>
    <n v="0"/>
    <n v="0"/>
    <n v="0"/>
    <n v="0"/>
  </r>
  <r>
    <m/>
    <x v="35"/>
    <m/>
    <m/>
    <m/>
    <d v="1900-10-01T00:00:00"/>
    <n v="0"/>
    <n v="0"/>
    <n v="0"/>
    <n v="22"/>
    <n v="0"/>
    <n v="0"/>
    <n v="0"/>
    <n v="0"/>
    <n v="0"/>
    <n v="0"/>
    <n v="0"/>
    <n v="0"/>
    <n v="0"/>
  </r>
  <r>
    <m/>
    <x v="35"/>
    <m/>
    <m/>
    <m/>
    <d v="1900-11-01T00:00:00"/>
    <n v="0"/>
    <n v="0"/>
    <n v="0"/>
    <n v="22"/>
    <n v="0"/>
    <n v="0"/>
    <n v="0"/>
    <n v="0"/>
    <n v="0"/>
    <n v="0"/>
    <n v="0"/>
    <n v="0"/>
    <n v="0"/>
  </r>
  <r>
    <m/>
    <x v="35"/>
    <m/>
    <m/>
    <m/>
    <d v="1900-12-01T00:00:00"/>
    <n v="0"/>
    <n v="0"/>
    <n v="0"/>
    <n v="22"/>
    <n v="0"/>
    <n v="0"/>
    <n v="0"/>
    <n v="0"/>
    <n v="0"/>
    <n v="0"/>
    <n v="0"/>
    <n v="0"/>
    <n v="0"/>
  </r>
  <r>
    <m/>
    <x v="35"/>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5"/>
    <x v="36"/>
    <d v="1899-12-30T00:00:00"/>
    <s v="Batch 3"/>
    <n v="0"/>
    <d v="1900-01-31T00:00:00"/>
    <n v="0"/>
    <n v="0"/>
    <n v="0"/>
    <n v="22"/>
    <n v="0"/>
    <n v="0"/>
    <n v="0"/>
    <n v="0"/>
    <n v="0"/>
    <n v="0"/>
    <n v="0"/>
    <n v="0"/>
    <n v="0"/>
  </r>
  <r>
    <m/>
    <x v="36"/>
    <m/>
    <m/>
    <m/>
    <d v="1900-03-01T00:00:00"/>
    <n v="0"/>
    <n v="0"/>
    <n v="0"/>
    <n v="22"/>
    <n v="0"/>
    <n v="0"/>
    <n v="0"/>
    <n v="0"/>
    <n v="0"/>
    <n v="0"/>
    <n v="0"/>
    <n v="0"/>
    <n v="0"/>
  </r>
  <r>
    <m/>
    <x v="36"/>
    <m/>
    <m/>
    <m/>
    <d v="1900-04-01T00:00:00"/>
    <n v="0"/>
    <n v="0"/>
    <n v="0"/>
    <n v="22"/>
    <n v="0"/>
    <n v="0"/>
    <n v="0"/>
    <n v="0"/>
    <n v="0"/>
    <n v="0"/>
    <n v="0"/>
    <n v="0"/>
    <n v="0"/>
  </r>
  <r>
    <m/>
    <x v="36"/>
    <m/>
    <m/>
    <m/>
    <d v="1900-05-01T00:00:00"/>
    <n v="0"/>
    <n v="0"/>
    <n v="0"/>
    <n v="22"/>
    <n v="0"/>
    <n v="0"/>
    <n v="0"/>
    <n v="0"/>
    <n v="0"/>
    <n v="0"/>
    <n v="0"/>
    <n v="0"/>
    <n v="0"/>
  </r>
  <r>
    <m/>
    <x v="36"/>
    <m/>
    <m/>
    <m/>
    <d v="1900-06-01T00:00:00"/>
    <n v="0"/>
    <n v="0"/>
    <n v="0"/>
    <n v="22"/>
    <n v="0"/>
    <n v="0"/>
    <n v="0"/>
    <n v="0"/>
    <n v="0"/>
    <n v="0"/>
    <n v="0"/>
    <n v="0"/>
    <n v="0"/>
  </r>
  <r>
    <m/>
    <x v="36"/>
    <m/>
    <m/>
    <m/>
    <d v="1900-07-01T00:00:00"/>
    <n v="0"/>
    <n v="0"/>
    <n v="0"/>
    <n v="22"/>
    <n v="0"/>
    <n v="0"/>
    <n v="0"/>
    <n v="0"/>
    <n v="0"/>
    <n v="0"/>
    <n v="0"/>
    <n v="0"/>
    <n v="0"/>
  </r>
  <r>
    <m/>
    <x v="36"/>
    <m/>
    <m/>
    <m/>
    <d v="1900-08-01T00:00:00"/>
    <n v="0"/>
    <n v="0"/>
    <n v="0"/>
    <n v="22"/>
    <n v="0"/>
    <n v="0"/>
    <n v="0"/>
    <n v="0"/>
    <n v="0"/>
    <n v="0"/>
    <n v="0"/>
    <n v="0"/>
    <n v="0"/>
  </r>
  <r>
    <m/>
    <x v="36"/>
    <m/>
    <m/>
    <m/>
    <d v="1900-09-01T00:00:00"/>
    <n v="0"/>
    <n v="0"/>
    <n v="0"/>
    <n v="22"/>
    <n v="0"/>
    <n v="0"/>
    <n v="0"/>
    <n v="0"/>
    <n v="0"/>
    <n v="0"/>
    <n v="0"/>
    <n v="0"/>
    <n v="0"/>
  </r>
  <r>
    <m/>
    <x v="36"/>
    <m/>
    <m/>
    <m/>
    <d v="1900-10-01T00:00:00"/>
    <n v="0"/>
    <n v="0"/>
    <n v="0"/>
    <n v="22"/>
    <n v="0"/>
    <n v="0"/>
    <n v="0"/>
    <n v="0"/>
    <n v="0"/>
    <n v="0"/>
    <n v="0"/>
    <n v="0"/>
    <n v="0"/>
  </r>
  <r>
    <m/>
    <x v="36"/>
    <m/>
    <m/>
    <m/>
    <d v="1900-11-01T00:00:00"/>
    <n v="0"/>
    <n v="0"/>
    <n v="0"/>
    <n v="22"/>
    <n v="0"/>
    <n v="0"/>
    <n v="0"/>
    <n v="0"/>
    <n v="0"/>
    <n v="0"/>
    <n v="0"/>
    <n v="0"/>
    <n v="0"/>
  </r>
  <r>
    <m/>
    <x v="36"/>
    <m/>
    <m/>
    <m/>
    <d v="1900-12-01T00:00:00"/>
    <n v="0"/>
    <n v="0"/>
    <n v="0"/>
    <n v="22"/>
    <n v="0"/>
    <n v="0"/>
    <n v="0"/>
    <n v="0"/>
    <n v="0"/>
    <n v="0"/>
    <n v="0"/>
    <n v="0"/>
    <n v="0"/>
  </r>
  <r>
    <m/>
    <x v="36"/>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6"/>
    <x v="37"/>
    <d v="2025-11-07T00:00:00"/>
    <s v="Batch 3"/>
    <n v="1.052"/>
    <d v="2025-12-01T00:00:00"/>
    <n v="1.052"/>
    <n v="7.3999999999999996E-2"/>
    <n v="13220"/>
    <n v="22"/>
    <n v="7.1999999999999995E-2"/>
    <n v="51.822399999999909"/>
    <n v="900.02"/>
    <n v="99"/>
    <n v="47.177600000000091"/>
    <n v="7.08"/>
    <n v="24.06"/>
    <n v="16.04"/>
    <n v="2E-3"/>
  </r>
  <r>
    <m/>
    <x v="37"/>
    <m/>
    <m/>
    <m/>
    <d v="2026-01-01T00:00:00"/>
    <n v="1.054"/>
    <n v="7.3999999999999996E-2"/>
    <n v="13790"/>
    <n v="22"/>
    <n v="7.1999999999999995E-2"/>
    <n v="54.056799999999903"/>
    <n v="938.82"/>
    <n v="103.27"/>
    <n v="49.213200000000093"/>
    <n v="7.38"/>
    <n v="25.1"/>
    <n v="16.73"/>
    <n v="2E-3"/>
  </r>
  <r>
    <m/>
    <x v="37"/>
    <m/>
    <m/>
    <m/>
    <d v="2026-02-01T00:00:00"/>
    <n v="1.056"/>
    <n v="7.3999999999999996E-2"/>
    <n v="15760"/>
    <n v="22"/>
    <n v="7.1999999999999995E-2"/>
    <n v="61.779199999999889"/>
    <n v="1072.94"/>
    <n v="118.02"/>
    <n v="56.240800000000107"/>
    <n v="8.44"/>
    <n v="28.68"/>
    <n v="19.12"/>
    <n v="2E-3"/>
  </r>
  <r>
    <m/>
    <x v="37"/>
    <m/>
    <m/>
    <m/>
    <d v="2026-03-01T00:00:00"/>
    <n v="1.0580000000000001"/>
    <n v="7.3999999999999996E-2"/>
    <n v="17200"/>
    <n v="22"/>
    <n v="7.1999999999999995E-2"/>
    <n v="67.423999999999879"/>
    <n v="1170.98"/>
    <n v="128.81"/>
    <n v="61.386000000000124"/>
    <n v="9.2100000000000009"/>
    <n v="31.31"/>
    <n v="20.87"/>
    <n v="2E-3"/>
  </r>
  <r>
    <m/>
    <x v="37"/>
    <m/>
    <m/>
    <m/>
    <d v="2026-04-01T00:00:00"/>
    <n v="1.06"/>
    <n v="7.3999999999999996E-2"/>
    <n v="15450"/>
    <n v="22"/>
    <n v="7.1999999999999995E-2"/>
    <n v="60.563999999999893"/>
    <n v="1051.8399999999999"/>
    <n v="115.7"/>
    <n v="55.136000000000109"/>
    <n v="8.27"/>
    <n v="28.12"/>
    <n v="18.75"/>
    <n v="2E-3"/>
  </r>
  <r>
    <m/>
    <x v="37"/>
    <m/>
    <m/>
    <m/>
    <d v="1899-12-30T00:00:00"/>
    <n v="0"/>
    <n v="0"/>
    <n v="0"/>
    <n v="22"/>
    <n v="0"/>
    <n v="0"/>
    <n v="0"/>
    <n v="0"/>
    <n v="0"/>
    <n v="0"/>
    <n v="0"/>
    <n v="0"/>
    <n v="0"/>
  </r>
  <r>
    <m/>
    <x v="37"/>
    <m/>
    <m/>
    <m/>
    <d v="1900-01-31T00:00:00"/>
    <n v="0"/>
    <n v="0"/>
    <n v="0"/>
    <n v="22"/>
    <n v="0"/>
    <n v="0"/>
    <n v="0"/>
    <n v="0"/>
    <n v="0"/>
    <n v="0"/>
    <n v="0"/>
    <n v="0"/>
    <n v="0"/>
  </r>
  <r>
    <m/>
    <x v="37"/>
    <m/>
    <m/>
    <m/>
    <d v="1900-03-01T00:00:00"/>
    <n v="0"/>
    <n v="0"/>
    <n v="0"/>
    <n v="22"/>
    <n v="0"/>
    <n v="0"/>
    <n v="0"/>
    <n v="0"/>
    <n v="0"/>
    <n v="0"/>
    <n v="0"/>
    <n v="0"/>
    <n v="0"/>
  </r>
  <r>
    <m/>
    <x v="37"/>
    <m/>
    <m/>
    <m/>
    <d v="1900-04-01T00:00:00"/>
    <n v="0"/>
    <n v="0"/>
    <n v="0"/>
    <n v="22"/>
    <n v="0"/>
    <n v="0"/>
    <n v="0"/>
    <n v="0"/>
    <n v="0"/>
    <n v="0"/>
    <n v="0"/>
    <n v="0"/>
    <n v="0"/>
  </r>
  <r>
    <m/>
    <x v="37"/>
    <m/>
    <m/>
    <m/>
    <d v="1900-05-01T00:00:00"/>
    <n v="0"/>
    <n v="0"/>
    <n v="0"/>
    <n v="22"/>
    <n v="0"/>
    <n v="0"/>
    <n v="0"/>
    <n v="0"/>
    <n v="0"/>
    <n v="0"/>
    <n v="0"/>
    <n v="0"/>
    <n v="0"/>
  </r>
  <r>
    <m/>
    <x v="37"/>
    <m/>
    <m/>
    <m/>
    <d v="1900-06-01T00:00:00"/>
    <n v="0"/>
    <n v="0"/>
    <n v="0"/>
    <n v="22"/>
    <n v="0"/>
    <n v="0"/>
    <n v="0"/>
    <n v="0"/>
    <n v="0"/>
    <n v="0"/>
    <n v="0"/>
    <n v="0"/>
    <n v="0"/>
  </r>
  <r>
    <m/>
    <x v="37"/>
    <m/>
    <m/>
    <m/>
    <d v="1900-07-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7"/>
    <x v="38"/>
    <d v="1899-12-30T00:00:00"/>
    <s v="Batch 3"/>
    <n v="0"/>
    <d v="1900-01-31T00:00:00"/>
    <n v="0"/>
    <n v="0"/>
    <n v="0"/>
    <n v="22"/>
    <n v="0"/>
    <n v="0"/>
    <n v="0"/>
    <n v="0"/>
    <n v="0"/>
    <n v="0"/>
    <n v="0"/>
    <n v="0"/>
    <n v="0"/>
  </r>
  <r>
    <m/>
    <x v="38"/>
    <m/>
    <m/>
    <m/>
    <d v="1900-03-01T00:00:00"/>
    <n v="0"/>
    <n v="0"/>
    <n v="0"/>
    <n v="22"/>
    <n v="0"/>
    <n v="0"/>
    <n v="0"/>
    <n v="0"/>
    <n v="0"/>
    <n v="0"/>
    <n v="0"/>
    <n v="0"/>
    <n v="0"/>
  </r>
  <r>
    <m/>
    <x v="38"/>
    <m/>
    <m/>
    <m/>
    <d v="1900-04-01T00:00:00"/>
    <n v="0"/>
    <n v="0"/>
    <n v="0"/>
    <n v="22"/>
    <n v="0"/>
    <n v="0"/>
    <n v="0"/>
    <n v="0"/>
    <n v="0"/>
    <n v="0"/>
    <n v="0"/>
    <n v="0"/>
    <n v="0"/>
  </r>
  <r>
    <m/>
    <x v="38"/>
    <m/>
    <m/>
    <m/>
    <d v="1900-05-01T00:00:00"/>
    <n v="0"/>
    <n v="0"/>
    <n v="0"/>
    <n v="22"/>
    <n v="0"/>
    <n v="0"/>
    <n v="0"/>
    <n v="0"/>
    <n v="0"/>
    <n v="0"/>
    <n v="0"/>
    <n v="0"/>
    <n v="0"/>
  </r>
  <r>
    <m/>
    <x v="38"/>
    <m/>
    <m/>
    <m/>
    <d v="1900-06-01T00:00:00"/>
    <n v="0"/>
    <n v="0"/>
    <n v="0"/>
    <n v="22"/>
    <n v="0"/>
    <n v="0"/>
    <n v="0"/>
    <n v="0"/>
    <n v="0"/>
    <n v="0"/>
    <n v="0"/>
    <n v="0"/>
    <n v="0"/>
  </r>
  <r>
    <m/>
    <x v="38"/>
    <m/>
    <m/>
    <m/>
    <d v="1900-07-01T00:00:00"/>
    <n v="0"/>
    <n v="0"/>
    <n v="0"/>
    <n v="22"/>
    <n v="0"/>
    <n v="0"/>
    <n v="0"/>
    <n v="0"/>
    <n v="0"/>
    <n v="0"/>
    <n v="0"/>
    <n v="0"/>
    <n v="0"/>
  </r>
  <r>
    <m/>
    <x v="38"/>
    <m/>
    <m/>
    <m/>
    <d v="1900-08-01T00:00:00"/>
    <n v="0"/>
    <n v="0"/>
    <n v="0"/>
    <n v="22"/>
    <n v="0"/>
    <n v="0"/>
    <n v="0"/>
    <n v="0"/>
    <n v="0"/>
    <n v="0"/>
    <n v="0"/>
    <n v="0"/>
    <n v="0"/>
  </r>
  <r>
    <m/>
    <x v="38"/>
    <m/>
    <m/>
    <m/>
    <d v="1900-09-01T00:00:00"/>
    <n v="0"/>
    <n v="0"/>
    <n v="0"/>
    <n v="22"/>
    <n v="0"/>
    <n v="0"/>
    <n v="0"/>
    <n v="0"/>
    <n v="0"/>
    <n v="0"/>
    <n v="0"/>
    <n v="0"/>
    <n v="0"/>
  </r>
  <r>
    <m/>
    <x v="38"/>
    <m/>
    <m/>
    <m/>
    <d v="1900-10-01T00:00:00"/>
    <n v="0"/>
    <n v="0"/>
    <n v="0"/>
    <n v="22"/>
    <n v="0"/>
    <n v="0"/>
    <n v="0"/>
    <n v="0"/>
    <n v="0"/>
    <n v="0"/>
    <n v="0"/>
    <n v="0"/>
    <n v="0"/>
  </r>
  <r>
    <m/>
    <x v="38"/>
    <m/>
    <m/>
    <m/>
    <d v="1900-11-01T00:00:00"/>
    <n v="0"/>
    <n v="0"/>
    <n v="0"/>
    <n v="22"/>
    <n v="0"/>
    <n v="0"/>
    <n v="0"/>
    <n v="0"/>
    <n v="0"/>
    <n v="0"/>
    <n v="0"/>
    <n v="0"/>
    <n v="0"/>
  </r>
  <r>
    <m/>
    <x v="38"/>
    <m/>
    <m/>
    <m/>
    <d v="1900-12-01T00:00:00"/>
    <n v="0"/>
    <n v="0"/>
    <n v="0"/>
    <n v="22"/>
    <n v="0"/>
    <n v="0"/>
    <n v="0"/>
    <n v="0"/>
    <n v="0"/>
    <n v="0"/>
    <n v="0"/>
    <n v="0"/>
    <n v="0"/>
  </r>
  <r>
    <m/>
    <x v="38"/>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8"/>
    <x v="39"/>
    <d v="2026-01-17T00:00:00"/>
    <s v="Batch 3"/>
    <n v="2.093"/>
    <d v="2026-02-01T00:00:00"/>
    <n v="2.093"/>
    <n v="0.14699999999999999"/>
    <n v="15760"/>
    <n v="22"/>
    <n v="0.14299999999999999"/>
    <n v="122.29759999999983"/>
    <n v="2131.38"/>
    <n v="234.45"/>
    <n v="112.15240000000016"/>
    <n v="16.82"/>
    <n v="57.2"/>
    <n v="38.130000000000003"/>
    <n v="3.0000000000000001E-3"/>
  </r>
  <r>
    <m/>
    <x v="39"/>
    <m/>
    <m/>
    <m/>
    <d v="2026-03-01T00:00:00"/>
    <n v="2.0960000000000001"/>
    <n v="0.14699999999999999"/>
    <n v="17200"/>
    <n v="22"/>
    <n v="0.14299999999999999"/>
    <n v="133.47199999999981"/>
    <n v="2326.13"/>
    <n v="255.87"/>
    <n v="122.3980000000002"/>
    <n v="18.36"/>
    <n v="62.42"/>
    <n v="41.62"/>
    <n v="3.0000000000000001E-3"/>
  </r>
  <r>
    <m/>
    <x v="39"/>
    <m/>
    <m/>
    <m/>
    <d v="2026-04-01T00:00:00"/>
    <n v="2.0990000000000002"/>
    <n v="0.14699999999999999"/>
    <n v="15450"/>
    <n v="22"/>
    <n v="0.14299999999999999"/>
    <n v="119.89199999999983"/>
    <n v="2089.46"/>
    <n v="229.84"/>
    <n v="109.94800000000018"/>
    <n v="16.489999999999998"/>
    <n v="56.07"/>
    <n v="37.380000000000003"/>
    <n v="3.0000000000000001E-3"/>
  </r>
  <r>
    <m/>
    <x v="39"/>
    <m/>
    <m/>
    <m/>
    <d v="1899-12-30T00:00:00"/>
    <n v="0"/>
    <n v="0"/>
    <n v="0"/>
    <n v="22"/>
    <n v="0"/>
    <n v="0"/>
    <n v="0"/>
    <n v="0"/>
    <n v="0"/>
    <n v="0"/>
    <n v="0"/>
    <n v="0"/>
    <n v="0"/>
  </r>
  <r>
    <m/>
    <x v="39"/>
    <m/>
    <m/>
    <m/>
    <d v="1900-01-31T00:00:00"/>
    <n v="0"/>
    <n v="0"/>
    <n v="0"/>
    <n v="22"/>
    <n v="0"/>
    <n v="0"/>
    <n v="0"/>
    <n v="0"/>
    <n v="0"/>
    <n v="0"/>
    <n v="0"/>
    <n v="0"/>
    <n v="0"/>
  </r>
  <r>
    <m/>
    <x v="39"/>
    <m/>
    <m/>
    <m/>
    <d v="1900-03-01T00:00:00"/>
    <n v="0"/>
    <n v="0"/>
    <n v="0"/>
    <n v="22"/>
    <n v="0"/>
    <n v="0"/>
    <n v="0"/>
    <n v="0"/>
    <n v="0"/>
    <n v="0"/>
    <n v="0"/>
    <n v="0"/>
    <n v="0"/>
  </r>
  <r>
    <m/>
    <x v="39"/>
    <m/>
    <m/>
    <m/>
    <d v="1900-04-01T00:00:00"/>
    <n v="0"/>
    <n v="0"/>
    <n v="0"/>
    <n v="22"/>
    <n v="0"/>
    <n v="0"/>
    <n v="0"/>
    <n v="0"/>
    <n v="0"/>
    <n v="0"/>
    <n v="0"/>
    <n v="0"/>
    <n v="0"/>
  </r>
  <r>
    <m/>
    <x v="39"/>
    <m/>
    <m/>
    <m/>
    <d v="1900-05-01T00:00:00"/>
    <n v="0"/>
    <n v="0"/>
    <n v="0"/>
    <n v="22"/>
    <n v="0"/>
    <n v="0"/>
    <n v="0"/>
    <n v="0"/>
    <n v="0"/>
    <n v="0"/>
    <n v="0"/>
    <n v="0"/>
    <n v="0"/>
  </r>
  <r>
    <m/>
    <x v="39"/>
    <m/>
    <m/>
    <m/>
    <d v="1900-06-01T00:00:00"/>
    <n v="0"/>
    <n v="0"/>
    <n v="0"/>
    <n v="22"/>
    <n v="0"/>
    <n v="0"/>
    <n v="0"/>
    <n v="0"/>
    <n v="0"/>
    <n v="0"/>
    <n v="0"/>
    <n v="0"/>
    <n v="0"/>
  </r>
  <r>
    <m/>
    <x v="39"/>
    <m/>
    <m/>
    <m/>
    <d v="1900-07-01T00:00:00"/>
    <n v="0"/>
    <n v="0"/>
    <n v="0"/>
    <n v="22"/>
    <n v="0"/>
    <n v="0"/>
    <n v="0"/>
    <n v="0"/>
    <n v="0"/>
    <n v="0"/>
    <n v="0"/>
    <n v="0"/>
    <n v="0"/>
  </r>
  <r>
    <m/>
    <x v="39"/>
    <m/>
    <m/>
    <m/>
    <d v="1900-08-01T00:00:00"/>
    <n v="0"/>
    <n v="0"/>
    <n v="0"/>
    <n v="22"/>
    <n v="0"/>
    <n v="0"/>
    <n v="0"/>
    <n v="0"/>
    <n v="0"/>
    <n v="0"/>
    <n v="0"/>
    <n v="0"/>
    <n v="0"/>
  </r>
  <r>
    <m/>
    <x v="39"/>
    <m/>
    <m/>
    <m/>
    <d v="1900-09-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39"/>
    <x v="40"/>
    <d v="1899-12-30T00:00:00"/>
    <s v="Batch 3"/>
    <n v="0"/>
    <d v="1900-01-31T00:00:00"/>
    <n v="0"/>
    <n v="0"/>
    <n v="0"/>
    <n v="22"/>
    <n v="0"/>
    <n v="0"/>
    <n v="0"/>
    <n v="0"/>
    <n v="0"/>
    <n v="0"/>
    <n v="0"/>
    <n v="0"/>
    <n v="0"/>
  </r>
  <r>
    <m/>
    <x v="40"/>
    <m/>
    <m/>
    <m/>
    <d v="1900-03-01T00:00:00"/>
    <n v="0"/>
    <n v="0"/>
    <n v="0"/>
    <n v="22"/>
    <n v="0"/>
    <n v="0"/>
    <n v="0"/>
    <n v="0"/>
    <n v="0"/>
    <n v="0"/>
    <n v="0"/>
    <n v="0"/>
    <n v="0"/>
  </r>
  <r>
    <m/>
    <x v="40"/>
    <m/>
    <m/>
    <m/>
    <d v="1900-04-01T00:00:00"/>
    <n v="0"/>
    <n v="0"/>
    <n v="0"/>
    <n v="22"/>
    <n v="0"/>
    <n v="0"/>
    <n v="0"/>
    <n v="0"/>
    <n v="0"/>
    <n v="0"/>
    <n v="0"/>
    <n v="0"/>
    <n v="0"/>
  </r>
  <r>
    <m/>
    <x v="40"/>
    <m/>
    <m/>
    <m/>
    <d v="1900-05-01T00:00:00"/>
    <n v="0"/>
    <n v="0"/>
    <n v="0"/>
    <n v="22"/>
    <n v="0"/>
    <n v="0"/>
    <n v="0"/>
    <n v="0"/>
    <n v="0"/>
    <n v="0"/>
    <n v="0"/>
    <n v="0"/>
    <n v="0"/>
  </r>
  <r>
    <m/>
    <x v="40"/>
    <m/>
    <m/>
    <m/>
    <d v="1900-06-01T00:00:00"/>
    <n v="0"/>
    <n v="0"/>
    <n v="0"/>
    <n v="22"/>
    <n v="0"/>
    <n v="0"/>
    <n v="0"/>
    <n v="0"/>
    <n v="0"/>
    <n v="0"/>
    <n v="0"/>
    <n v="0"/>
    <n v="0"/>
  </r>
  <r>
    <m/>
    <x v="40"/>
    <m/>
    <m/>
    <m/>
    <d v="1900-07-01T00:00:00"/>
    <n v="0"/>
    <n v="0"/>
    <n v="0"/>
    <n v="22"/>
    <n v="0"/>
    <n v="0"/>
    <n v="0"/>
    <n v="0"/>
    <n v="0"/>
    <n v="0"/>
    <n v="0"/>
    <n v="0"/>
    <n v="0"/>
  </r>
  <r>
    <m/>
    <x v="40"/>
    <m/>
    <m/>
    <m/>
    <d v="1900-08-01T00:00:00"/>
    <n v="0"/>
    <n v="0"/>
    <n v="0"/>
    <n v="22"/>
    <n v="0"/>
    <n v="0"/>
    <n v="0"/>
    <n v="0"/>
    <n v="0"/>
    <n v="0"/>
    <n v="0"/>
    <n v="0"/>
    <n v="0"/>
  </r>
  <r>
    <m/>
    <x v="40"/>
    <m/>
    <m/>
    <m/>
    <d v="1900-09-01T00:00:00"/>
    <n v="0"/>
    <n v="0"/>
    <n v="0"/>
    <n v="22"/>
    <n v="0"/>
    <n v="0"/>
    <n v="0"/>
    <n v="0"/>
    <n v="0"/>
    <n v="0"/>
    <n v="0"/>
    <n v="0"/>
    <n v="0"/>
  </r>
  <r>
    <m/>
    <x v="40"/>
    <m/>
    <m/>
    <m/>
    <d v="1900-10-01T00:00:00"/>
    <n v="0"/>
    <n v="0"/>
    <n v="0"/>
    <n v="22"/>
    <n v="0"/>
    <n v="0"/>
    <n v="0"/>
    <n v="0"/>
    <n v="0"/>
    <n v="0"/>
    <n v="0"/>
    <n v="0"/>
    <n v="0"/>
  </r>
  <r>
    <m/>
    <x v="40"/>
    <m/>
    <m/>
    <m/>
    <d v="1900-11-01T00:00:00"/>
    <n v="0"/>
    <n v="0"/>
    <n v="0"/>
    <n v="22"/>
    <n v="0"/>
    <n v="0"/>
    <n v="0"/>
    <n v="0"/>
    <n v="0"/>
    <n v="0"/>
    <n v="0"/>
    <n v="0"/>
    <n v="0"/>
  </r>
  <r>
    <m/>
    <x v="40"/>
    <m/>
    <m/>
    <m/>
    <d v="1900-12-01T00:00:00"/>
    <n v="0"/>
    <n v="0"/>
    <n v="0"/>
    <n v="22"/>
    <n v="0"/>
    <n v="0"/>
    <n v="0"/>
    <n v="0"/>
    <n v="0"/>
    <n v="0"/>
    <n v="0"/>
    <n v="0"/>
    <n v="0"/>
  </r>
  <r>
    <m/>
    <x v="40"/>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40"/>
    <x v="41"/>
    <d v="2026-11-24T00:00:00"/>
    <s v="Batch 3"/>
    <n v="2.1789999999999998"/>
    <d v="2026-12-01T00:00:00"/>
    <n v="2.1789999999999998"/>
    <n v="0.153"/>
    <n v="0"/>
    <n v="22"/>
    <n v="0.14799999999999999"/>
    <n v="0"/>
    <n v="0"/>
    <n v="0"/>
    <n v="0"/>
    <n v="0"/>
    <n v="0"/>
    <n v="0"/>
    <n v="0"/>
  </r>
  <r>
    <m/>
    <x v="41"/>
    <m/>
    <m/>
    <m/>
    <d v="1899-12-30T00:00:00"/>
    <n v="0"/>
    <n v="0"/>
    <n v="0"/>
    <n v="22"/>
    <n v="0"/>
    <n v="0"/>
    <n v="0"/>
    <n v="0"/>
    <n v="0"/>
    <n v="0"/>
    <n v="0"/>
    <n v="0"/>
    <n v="0"/>
  </r>
  <r>
    <m/>
    <x v="41"/>
    <m/>
    <m/>
    <m/>
    <d v="1900-01-31T00:00:00"/>
    <n v="0"/>
    <n v="0"/>
    <n v="0"/>
    <n v="22"/>
    <n v="0"/>
    <n v="0"/>
    <n v="0"/>
    <n v="0"/>
    <n v="0"/>
    <n v="0"/>
    <n v="0"/>
    <n v="0"/>
    <n v="0"/>
  </r>
  <r>
    <m/>
    <x v="41"/>
    <m/>
    <m/>
    <m/>
    <d v="1900-03-01T00:00:00"/>
    <n v="0"/>
    <n v="0"/>
    <n v="0"/>
    <n v="22"/>
    <n v="0"/>
    <n v="0"/>
    <n v="0"/>
    <n v="0"/>
    <n v="0"/>
    <n v="0"/>
    <n v="0"/>
    <n v="0"/>
    <n v="0"/>
  </r>
  <r>
    <m/>
    <x v="41"/>
    <m/>
    <m/>
    <m/>
    <d v="1900-04-01T00:00:00"/>
    <n v="0"/>
    <n v="0"/>
    <n v="0"/>
    <n v="22"/>
    <n v="0"/>
    <n v="0"/>
    <n v="0"/>
    <n v="0"/>
    <n v="0"/>
    <n v="0"/>
    <n v="0"/>
    <n v="0"/>
    <n v="0"/>
  </r>
  <r>
    <m/>
    <x v="41"/>
    <m/>
    <m/>
    <m/>
    <d v="1900-05-01T00:00:00"/>
    <n v="0"/>
    <n v="0"/>
    <n v="0"/>
    <n v="22"/>
    <n v="0"/>
    <n v="0"/>
    <n v="0"/>
    <n v="0"/>
    <n v="0"/>
    <n v="0"/>
    <n v="0"/>
    <n v="0"/>
    <n v="0"/>
  </r>
  <r>
    <m/>
    <x v="41"/>
    <m/>
    <m/>
    <m/>
    <d v="1900-06-01T00:00:00"/>
    <n v="0"/>
    <n v="0"/>
    <n v="0"/>
    <n v="22"/>
    <n v="0"/>
    <n v="0"/>
    <n v="0"/>
    <n v="0"/>
    <n v="0"/>
    <n v="0"/>
    <n v="0"/>
    <n v="0"/>
    <n v="0"/>
  </r>
  <r>
    <m/>
    <x v="41"/>
    <m/>
    <m/>
    <m/>
    <d v="1900-07-01T00:00:00"/>
    <n v="0"/>
    <n v="0"/>
    <n v="0"/>
    <n v="22"/>
    <n v="0"/>
    <n v="0"/>
    <n v="0"/>
    <n v="0"/>
    <n v="0"/>
    <n v="0"/>
    <n v="0"/>
    <n v="0"/>
    <n v="0"/>
  </r>
  <r>
    <m/>
    <x v="41"/>
    <m/>
    <m/>
    <m/>
    <d v="1900-08-01T00:00:00"/>
    <n v="0"/>
    <n v="0"/>
    <n v="0"/>
    <n v="22"/>
    <n v="0"/>
    <n v="0"/>
    <n v="0"/>
    <n v="0"/>
    <n v="0"/>
    <n v="0"/>
    <n v="0"/>
    <n v="0"/>
    <n v="0"/>
  </r>
  <r>
    <m/>
    <x v="41"/>
    <m/>
    <m/>
    <m/>
    <d v="1900-09-01T00:00:00"/>
    <n v="0"/>
    <n v="0"/>
    <n v="0"/>
    <n v="22"/>
    <n v="0"/>
    <n v="0"/>
    <n v="0"/>
    <n v="0"/>
    <n v="0"/>
    <n v="0"/>
    <n v="0"/>
    <n v="0"/>
    <n v="0"/>
  </r>
  <r>
    <m/>
    <x v="41"/>
    <m/>
    <m/>
    <m/>
    <d v="1900-10-01T00:00:00"/>
    <n v="0"/>
    <n v="0"/>
    <n v="0"/>
    <n v="22"/>
    <n v="0"/>
    <n v="0"/>
    <n v="0"/>
    <n v="0"/>
    <n v="0"/>
    <n v="0"/>
    <n v="0"/>
    <n v="0"/>
    <n v="0"/>
  </r>
  <r>
    <m/>
    <x v="41"/>
    <m/>
    <m/>
    <m/>
    <d v="1900-1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41"/>
    <x v="42"/>
    <d v="2026-01-28T00:00:00"/>
    <s v="Batch 3"/>
    <n v="1.577"/>
    <d v="2026-02-01T00:00:00"/>
    <n v="1.577"/>
    <n v="0.11"/>
    <n v="15760"/>
    <n v="22"/>
    <n v="0.107"/>
    <n v="91.407999999999987"/>
    <n v="1594.91"/>
    <n v="175.44"/>
    <n v="84.032000000000011"/>
    <n v="12.6"/>
    <n v="42.86"/>
    <n v="28.57"/>
    <n v="3.0000000000000001E-3"/>
  </r>
  <r>
    <m/>
    <x v="42"/>
    <m/>
    <m/>
    <m/>
    <d v="2026-03-01T00:00:00"/>
    <n v="1.58"/>
    <n v="0.111"/>
    <n v="17200"/>
    <n v="22"/>
    <n v="0.108"/>
    <n v="101.13599999999994"/>
    <n v="1756.46"/>
    <n v="193.21"/>
    <n v="92.074000000000069"/>
    <n v="13.81"/>
    <n v="46.96"/>
    <n v="31.31"/>
    <n v="3.0000000000000001E-3"/>
  </r>
  <r>
    <m/>
    <x v="42"/>
    <m/>
    <m/>
    <m/>
    <d v="2026-04-01T00:00:00"/>
    <n v="1.583"/>
    <n v="0.111"/>
    <n v="15450"/>
    <n v="22"/>
    <n v="0.108"/>
    <n v="90.845999999999947"/>
    <n v="1577.75"/>
    <n v="173.55"/>
    <n v="82.704000000000065"/>
    <n v="12.41"/>
    <n v="42.18"/>
    <n v="28.12"/>
    <n v="3.0000000000000001E-3"/>
  </r>
  <r>
    <m/>
    <x v="42"/>
    <m/>
    <m/>
    <m/>
    <d v="1899-12-30T00:00:00"/>
    <n v="0"/>
    <n v="0"/>
    <n v="0"/>
    <n v="22"/>
    <n v="0"/>
    <n v="0"/>
    <n v="0"/>
    <n v="0"/>
    <n v="0"/>
    <n v="0"/>
    <n v="0"/>
    <n v="0"/>
    <n v="0"/>
  </r>
  <r>
    <m/>
    <x v="42"/>
    <m/>
    <m/>
    <m/>
    <d v="1900-01-31T00:00:00"/>
    <n v="0"/>
    <n v="0"/>
    <n v="0"/>
    <n v="22"/>
    <n v="0"/>
    <n v="0"/>
    <n v="0"/>
    <n v="0"/>
    <n v="0"/>
    <n v="0"/>
    <n v="0"/>
    <n v="0"/>
    <n v="0"/>
  </r>
  <r>
    <m/>
    <x v="42"/>
    <m/>
    <m/>
    <m/>
    <d v="1900-03-01T00:00:00"/>
    <n v="0"/>
    <n v="0"/>
    <n v="0"/>
    <n v="22"/>
    <n v="0"/>
    <n v="0"/>
    <n v="0"/>
    <n v="0"/>
    <n v="0"/>
    <n v="0"/>
    <n v="0"/>
    <n v="0"/>
    <n v="0"/>
  </r>
  <r>
    <m/>
    <x v="42"/>
    <m/>
    <m/>
    <m/>
    <d v="1900-04-01T00:00:00"/>
    <n v="0"/>
    <n v="0"/>
    <n v="0"/>
    <n v="22"/>
    <n v="0"/>
    <n v="0"/>
    <n v="0"/>
    <n v="0"/>
    <n v="0"/>
    <n v="0"/>
    <n v="0"/>
    <n v="0"/>
    <n v="0"/>
  </r>
  <r>
    <m/>
    <x v="42"/>
    <m/>
    <m/>
    <m/>
    <d v="1900-05-01T00:00:00"/>
    <n v="0"/>
    <n v="0"/>
    <n v="0"/>
    <n v="22"/>
    <n v="0"/>
    <n v="0"/>
    <n v="0"/>
    <n v="0"/>
    <n v="0"/>
    <n v="0"/>
    <n v="0"/>
    <n v="0"/>
    <n v="0"/>
  </r>
  <r>
    <m/>
    <x v="42"/>
    <m/>
    <m/>
    <m/>
    <d v="1900-06-01T00:00:00"/>
    <n v="0"/>
    <n v="0"/>
    <n v="0"/>
    <n v="22"/>
    <n v="0"/>
    <n v="0"/>
    <n v="0"/>
    <n v="0"/>
    <n v="0"/>
    <n v="0"/>
    <n v="0"/>
    <n v="0"/>
    <n v="0"/>
  </r>
  <r>
    <m/>
    <x v="42"/>
    <m/>
    <m/>
    <m/>
    <d v="1900-07-01T00:00:00"/>
    <n v="0"/>
    <n v="0"/>
    <n v="0"/>
    <n v="22"/>
    <n v="0"/>
    <n v="0"/>
    <n v="0"/>
    <n v="0"/>
    <n v="0"/>
    <n v="0"/>
    <n v="0"/>
    <n v="0"/>
    <n v="0"/>
  </r>
  <r>
    <m/>
    <x v="42"/>
    <m/>
    <m/>
    <m/>
    <d v="1900-08-01T00:00:00"/>
    <n v="0"/>
    <n v="0"/>
    <n v="0"/>
    <n v="22"/>
    <n v="0"/>
    <n v="0"/>
    <n v="0"/>
    <n v="0"/>
    <n v="0"/>
    <n v="0"/>
    <n v="0"/>
    <n v="0"/>
    <n v="0"/>
  </r>
  <r>
    <m/>
    <x v="42"/>
    <m/>
    <m/>
    <m/>
    <d v="1900-09-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42"/>
    <x v="43"/>
    <d v="1899-12-30T00:00:00"/>
    <s v="Batch 3"/>
    <n v="0"/>
    <d v="1900-01-31T00:00:00"/>
    <n v="0"/>
    <n v="0"/>
    <n v="0"/>
    <n v="22"/>
    <n v="0"/>
    <n v="0"/>
    <n v="0"/>
    <n v="0"/>
    <n v="0"/>
    <n v="0"/>
    <n v="0"/>
    <n v="0"/>
    <n v="0"/>
  </r>
  <r>
    <m/>
    <x v="43"/>
    <m/>
    <m/>
    <m/>
    <d v="1900-03-01T00:00:00"/>
    <n v="0"/>
    <n v="0"/>
    <n v="0"/>
    <n v="22"/>
    <n v="0"/>
    <n v="0"/>
    <n v="0"/>
    <n v="0"/>
    <n v="0"/>
    <n v="0"/>
    <n v="0"/>
    <n v="0"/>
    <n v="0"/>
  </r>
  <r>
    <m/>
    <x v="43"/>
    <m/>
    <m/>
    <m/>
    <d v="1900-04-01T00:00:00"/>
    <n v="0"/>
    <n v="0"/>
    <n v="0"/>
    <n v="22"/>
    <n v="0"/>
    <n v="0"/>
    <n v="0"/>
    <n v="0"/>
    <n v="0"/>
    <n v="0"/>
    <n v="0"/>
    <n v="0"/>
    <n v="0"/>
  </r>
  <r>
    <m/>
    <x v="43"/>
    <m/>
    <m/>
    <m/>
    <d v="1900-05-01T00:00:00"/>
    <n v="0"/>
    <n v="0"/>
    <n v="0"/>
    <n v="22"/>
    <n v="0"/>
    <n v="0"/>
    <n v="0"/>
    <n v="0"/>
    <n v="0"/>
    <n v="0"/>
    <n v="0"/>
    <n v="0"/>
    <n v="0"/>
  </r>
  <r>
    <m/>
    <x v="43"/>
    <m/>
    <m/>
    <m/>
    <d v="1900-06-01T00:00:00"/>
    <n v="0"/>
    <n v="0"/>
    <n v="0"/>
    <n v="22"/>
    <n v="0"/>
    <n v="0"/>
    <n v="0"/>
    <n v="0"/>
    <n v="0"/>
    <n v="0"/>
    <n v="0"/>
    <n v="0"/>
    <n v="0"/>
  </r>
  <r>
    <m/>
    <x v="43"/>
    <m/>
    <m/>
    <m/>
    <d v="1900-07-01T00:00:00"/>
    <n v="0"/>
    <n v="0"/>
    <n v="0"/>
    <n v="22"/>
    <n v="0"/>
    <n v="0"/>
    <n v="0"/>
    <n v="0"/>
    <n v="0"/>
    <n v="0"/>
    <n v="0"/>
    <n v="0"/>
    <n v="0"/>
  </r>
  <r>
    <m/>
    <x v="43"/>
    <m/>
    <m/>
    <m/>
    <d v="1900-08-01T00:00:00"/>
    <n v="0"/>
    <n v="0"/>
    <n v="0"/>
    <n v="22"/>
    <n v="0"/>
    <n v="0"/>
    <n v="0"/>
    <n v="0"/>
    <n v="0"/>
    <n v="0"/>
    <n v="0"/>
    <n v="0"/>
    <n v="0"/>
  </r>
  <r>
    <m/>
    <x v="43"/>
    <m/>
    <m/>
    <m/>
    <d v="1900-09-01T00:00:00"/>
    <n v="0"/>
    <n v="0"/>
    <n v="0"/>
    <n v="22"/>
    <n v="0"/>
    <n v="0"/>
    <n v="0"/>
    <n v="0"/>
    <n v="0"/>
    <n v="0"/>
    <n v="0"/>
    <n v="0"/>
    <n v="0"/>
  </r>
  <r>
    <m/>
    <x v="43"/>
    <m/>
    <m/>
    <m/>
    <d v="1900-10-01T00:00:00"/>
    <n v="0"/>
    <n v="0"/>
    <n v="0"/>
    <n v="22"/>
    <n v="0"/>
    <n v="0"/>
    <n v="0"/>
    <n v="0"/>
    <n v="0"/>
    <n v="0"/>
    <n v="0"/>
    <n v="0"/>
    <n v="0"/>
  </r>
  <r>
    <m/>
    <x v="43"/>
    <m/>
    <m/>
    <m/>
    <d v="1900-11-01T00:00:00"/>
    <n v="0"/>
    <n v="0"/>
    <n v="0"/>
    <n v="22"/>
    <n v="0"/>
    <n v="0"/>
    <n v="0"/>
    <n v="0"/>
    <n v="0"/>
    <n v="0"/>
    <n v="0"/>
    <n v="0"/>
    <n v="0"/>
  </r>
  <r>
    <m/>
    <x v="43"/>
    <m/>
    <m/>
    <m/>
    <d v="1900-12-01T00:00:00"/>
    <n v="0"/>
    <n v="0"/>
    <n v="0"/>
    <n v="22"/>
    <n v="0"/>
    <n v="0"/>
    <n v="0"/>
    <n v="0"/>
    <n v="0"/>
    <n v="0"/>
    <n v="0"/>
    <n v="0"/>
    <n v="0"/>
  </r>
  <r>
    <m/>
    <x v="43"/>
    <m/>
    <m/>
    <m/>
    <d v="1901-01-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43"/>
    <x v="44"/>
    <d v="2025-11-11T00:00:00"/>
    <s v="Batch 3"/>
    <n v="3.23"/>
    <d v="2025-12-01T00:00:00"/>
    <n v="3.23"/>
    <n v="0.22600000000000001"/>
    <n v="13220"/>
    <n v="22"/>
    <n v="0.219"/>
    <n v="146.47759999999971"/>
    <n v="2748.7"/>
    <n v="302.36"/>
    <n v="155.8824000000003"/>
    <n v="23.38"/>
    <n v="79.5"/>
    <n v="53"/>
    <n v="6.0000000000000001E-3"/>
  </r>
  <r>
    <m/>
    <x v="44"/>
    <m/>
    <m/>
    <m/>
    <d v="2026-01-01T00:00:00"/>
    <n v="3.2360000000000002"/>
    <n v="0.22700000000000001"/>
    <n v="13790"/>
    <n v="22"/>
    <n v="0.22"/>
    <n v="153.89639999999966"/>
    <n v="2879.9"/>
    <n v="316.79000000000002"/>
    <n v="162.89360000000036"/>
    <n v="24.43"/>
    <n v="83.08"/>
    <n v="55.39"/>
    <n v="6.0000000000000001E-3"/>
  </r>
  <r>
    <m/>
    <x v="44"/>
    <m/>
    <m/>
    <m/>
    <d v="2026-02-01T00:00:00"/>
    <n v="3.242"/>
    <n v="0.22700000000000001"/>
    <n v="15760"/>
    <n v="22"/>
    <n v="0.22"/>
    <n v="175.88159999999962"/>
    <n v="3291.32"/>
    <n v="362.05"/>
    <n v="186.16840000000039"/>
    <n v="27.93"/>
    <n v="94.94"/>
    <n v="63.3"/>
    <n v="6.0000000000000001E-3"/>
  </r>
  <r>
    <m/>
    <x v="44"/>
    <m/>
    <m/>
    <m/>
    <d v="2026-03-01T00:00:00"/>
    <n v="3.2480000000000002"/>
    <n v="0.22700000000000001"/>
    <n v="17200"/>
    <n v="22"/>
    <n v="0.22"/>
    <n v="191.95199999999957"/>
    <n v="3592.05"/>
    <n v="395.13"/>
    <n v="203.17800000000042"/>
    <n v="30.48"/>
    <n v="103.62"/>
    <n v="69.08"/>
    <n v="6.0000000000000001E-3"/>
  </r>
  <r>
    <m/>
    <x v="44"/>
    <m/>
    <m/>
    <m/>
    <d v="2026-04-01T00:00:00"/>
    <n v="3.254"/>
    <n v="0.22800000000000001"/>
    <n v="15450"/>
    <n v="22"/>
    <n v="0.221"/>
    <n v="173.65799999999956"/>
    <n v="3240.79"/>
    <n v="356.49"/>
    <n v="182.83200000000045"/>
    <n v="27.42"/>
    <n v="93.25"/>
    <n v="62.16"/>
    <n v="6.0000000000000001E-3"/>
  </r>
  <r>
    <m/>
    <x v="44"/>
    <m/>
    <m/>
    <m/>
    <d v="1899-12-30T00:00:00"/>
    <n v="0"/>
    <n v="0"/>
    <n v="0"/>
    <n v="22"/>
    <n v="0"/>
    <n v="0"/>
    <n v="0"/>
    <n v="0"/>
    <n v="0"/>
    <n v="0"/>
    <n v="0"/>
    <n v="0"/>
    <n v="0"/>
  </r>
  <r>
    <m/>
    <x v="44"/>
    <m/>
    <m/>
    <m/>
    <d v="1900-01-31T00:00:00"/>
    <n v="0"/>
    <n v="0"/>
    <n v="0"/>
    <n v="22"/>
    <n v="0"/>
    <n v="0"/>
    <n v="0"/>
    <n v="0"/>
    <n v="0"/>
    <n v="0"/>
    <n v="0"/>
    <n v="0"/>
    <n v="0"/>
  </r>
  <r>
    <m/>
    <x v="44"/>
    <m/>
    <m/>
    <m/>
    <d v="1900-03-01T00:00:00"/>
    <n v="0"/>
    <n v="0"/>
    <n v="0"/>
    <n v="22"/>
    <n v="0"/>
    <n v="0"/>
    <n v="0"/>
    <n v="0"/>
    <n v="0"/>
    <n v="0"/>
    <n v="0"/>
    <n v="0"/>
    <n v="0"/>
  </r>
  <r>
    <m/>
    <x v="44"/>
    <m/>
    <m/>
    <m/>
    <d v="1900-04-01T00:00:00"/>
    <n v="0"/>
    <n v="0"/>
    <n v="0"/>
    <n v="22"/>
    <n v="0"/>
    <n v="0"/>
    <n v="0"/>
    <n v="0"/>
    <n v="0"/>
    <n v="0"/>
    <n v="0"/>
    <n v="0"/>
    <n v="0"/>
  </r>
  <r>
    <m/>
    <x v="44"/>
    <m/>
    <m/>
    <m/>
    <d v="1900-05-01T00:00:00"/>
    <n v="0"/>
    <n v="0"/>
    <n v="0"/>
    <n v="22"/>
    <n v="0"/>
    <n v="0"/>
    <n v="0"/>
    <n v="0"/>
    <n v="0"/>
    <n v="0"/>
    <n v="0"/>
    <n v="0"/>
    <n v="0"/>
  </r>
  <r>
    <m/>
    <x v="44"/>
    <m/>
    <m/>
    <m/>
    <d v="1900-06-01T00:00:00"/>
    <n v="0"/>
    <n v="0"/>
    <n v="0"/>
    <n v="22"/>
    <n v="0"/>
    <n v="0"/>
    <n v="0"/>
    <n v="0"/>
    <n v="0"/>
    <n v="0"/>
    <n v="0"/>
    <n v="0"/>
    <n v="0"/>
  </r>
  <r>
    <m/>
    <x v="44"/>
    <m/>
    <m/>
    <m/>
    <d v="1900-07-01T00:00:00"/>
    <n v="0"/>
    <n v="0"/>
    <n v="0"/>
    <n v="22"/>
    <n v="0"/>
    <n v="0"/>
    <n v="0"/>
    <n v="0"/>
    <n v="0"/>
    <n v="0"/>
    <n v="0"/>
    <n v="0"/>
    <n v="0"/>
  </r>
  <r>
    <m/>
    <x v="1"/>
    <m/>
    <m/>
    <m/>
    <m/>
    <m/>
    <m/>
    <m/>
    <m/>
    <m/>
    <m/>
    <m/>
    <m/>
    <m/>
    <m/>
    <m/>
    <m/>
    <m/>
  </r>
  <r>
    <s v="TAG NO"/>
    <x v="2"/>
    <s v="Actual Sales Date"/>
    <s v="Purity"/>
    <s v="MS design Sold"/>
    <s v="New Stk Introduce on"/>
    <s v="New SG Design Introduced"/>
    <s v="Sales PM"/>
    <s v="Gold Rate _x000a_24K"/>
    <s v="Purity"/>
    <s v="Labour cost Price"/>
    <s v="Labour Cost Charged"/>
    <s v="Labour Sell Price"/>
    <s v="Labour Profit Charged"/>
    <s v="Labour Sharable Profit"/>
    <s v="Operating Cost _x000a_15%"/>
    <s v="MS Share"/>
    <s v="SG Share"/>
    <s v="MS Profit in Gold"/>
  </r>
  <r>
    <n v="44"/>
    <x v="45"/>
    <d v="2025-12-12T00:00:00"/>
    <s v="Batch 3"/>
    <n v="4.431"/>
    <d v="2026-01-01T00:00:00"/>
    <n v="4.431"/>
    <n v="0.31"/>
    <n v="13790"/>
    <n v="22"/>
    <n v="0.30099999999999999"/>
    <n v="217.88199999999972"/>
    <n v="3932.91"/>
    <n v="432.62"/>
    <n v="214.73800000000028"/>
    <n v="32.21"/>
    <n v="109.52"/>
    <n v="73.010000000000005"/>
    <n v="7.0000000000000001E-3"/>
  </r>
  <r>
    <m/>
    <x v="45"/>
    <m/>
    <m/>
    <m/>
    <d v="2026-02-01T00:00:00"/>
    <n v="4.4379999999999997"/>
    <n v="0.311"/>
    <n v="15760"/>
    <n v="22"/>
    <n v="0.30199999999999999"/>
    <n v="250.26880000000008"/>
    <n v="4509.25"/>
    <n v="496.02"/>
    <n v="245.7511999999999"/>
    <n v="36.86"/>
    <n v="125.33"/>
    <n v="83.56"/>
    <n v="7.0000000000000001E-3"/>
  </r>
  <r>
    <m/>
    <x v="45"/>
    <m/>
    <m/>
    <m/>
    <d v="2026-03-01T00:00:00"/>
    <n v="4.4450000000000003"/>
    <n v="0.311"/>
    <n v="17200"/>
    <n v="22"/>
    <n v="0.30199999999999999"/>
    <n v="273.13600000000008"/>
    <n v="4921.26"/>
    <n v="541.34"/>
    <n v="268.20399999999995"/>
    <n v="40.229999999999997"/>
    <n v="136.78"/>
    <n v="91.19"/>
    <n v="7.0000000000000001E-3"/>
  </r>
  <r>
    <m/>
    <x v="45"/>
    <m/>
    <m/>
    <m/>
    <d v="2026-04-01T00:00:00"/>
    <n v="4.452"/>
    <n v="0.312"/>
    <n v="15450"/>
    <n v="22"/>
    <n v="0.30299999999999999"/>
    <n v="246.5819999999996"/>
    <n v="4434.7700000000004"/>
    <n v="487.82"/>
    <n v="241.2380000000004"/>
    <n v="36.19"/>
    <n v="123.03"/>
    <n v="82.02"/>
    <n v="7.0000000000000001E-3"/>
  </r>
  <r>
    <m/>
    <x v="45"/>
    <m/>
    <m/>
    <m/>
    <d v="1899-12-30T00:00:00"/>
    <n v="0"/>
    <n v="0"/>
    <n v="0"/>
    <n v="22"/>
    <n v="0"/>
    <n v="0"/>
    <n v="0"/>
    <n v="0"/>
    <n v="0"/>
    <n v="0"/>
    <n v="0"/>
    <n v="0"/>
    <n v="0"/>
  </r>
  <r>
    <m/>
    <x v="45"/>
    <m/>
    <m/>
    <m/>
    <d v="1900-01-31T00:00:00"/>
    <n v="0"/>
    <n v="0"/>
    <n v="0"/>
    <n v="22"/>
    <n v="0"/>
    <n v="0"/>
    <n v="0"/>
    <n v="0"/>
    <n v="0"/>
    <n v="0"/>
    <n v="0"/>
    <n v="0"/>
    <n v="0"/>
  </r>
  <r>
    <m/>
    <x v="45"/>
    <m/>
    <m/>
    <m/>
    <d v="1900-03-01T00:00:00"/>
    <n v="0"/>
    <n v="0"/>
    <n v="0"/>
    <n v="22"/>
    <n v="0"/>
    <n v="0"/>
    <n v="0"/>
    <n v="0"/>
    <n v="0"/>
    <n v="0"/>
    <n v="0"/>
    <n v="0"/>
    <n v="0"/>
  </r>
  <r>
    <m/>
    <x v="45"/>
    <m/>
    <m/>
    <m/>
    <d v="1900-04-01T00:00:00"/>
    <n v="0"/>
    <n v="0"/>
    <n v="0"/>
    <n v="22"/>
    <n v="0"/>
    <n v="0"/>
    <n v="0"/>
    <n v="0"/>
    <n v="0"/>
    <n v="0"/>
    <n v="0"/>
    <n v="0"/>
    <n v="0"/>
  </r>
  <r>
    <m/>
    <x v="45"/>
    <m/>
    <m/>
    <m/>
    <d v="1900-05-01T00:00:00"/>
    <n v="0"/>
    <n v="0"/>
    <n v="0"/>
    <n v="22"/>
    <n v="0"/>
    <n v="0"/>
    <n v="0"/>
    <n v="0"/>
    <n v="0"/>
    <n v="0"/>
    <n v="0"/>
    <n v="0"/>
    <n v="0"/>
  </r>
  <r>
    <m/>
    <x v="45"/>
    <m/>
    <m/>
    <m/>
    <d v="1900-06-01T00:00:00"/>
    <n v="0"/>
    <n v="0"/>
    <n v="0"/>
    <n v="22"/>
    <n v="0"/>
    <n v="0"/>
    <n v="0"/>
    <n v="0"/>
    <n v="0"/>
    <n v="0"/>
    <n v="0"/>
    <n v="0"/>
    <n v="0"/>
  </r>
  <r>
    <m/>
    <x v="45"/>
    <m/>
    <m/>
    <m/>
    <d v="1900-07-01T00:00:00"/>
    <n v="0"/>
    <n v="0"/>
    <n v="0"/>
    <n v="22"/>
    <n v="0"/>
    <n v="0"/>
    <n v="0"/>
    <n v="0"/>
    <n v="0"/>
    <n v="0"/>
    <n v="0"/>
    <n v="0"/>
    <n v="0"/>
  </r>
  <r>
    <m/>
    <x v="45"/>
    <m/>
    <m/>
    <m/>
    <d v="1900-08-01T00:00:00"/>
    <n v="0"/>
    <n v="0"/>
    <n v="0"/>
    <n v="22"/>
    <n v="0"/>
    <n v="0"/>
    <n v="0"/>
    <n v="0"/>
    <n v="0"/>
    <n v="0"/>
    <n v="0"/>
    <n v="0"/>
    <n v="0"/>
  </r>
  <r>
    <m/>
    <x v="1"/>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0" applyNumberFormats="0" applyBorderFormats="0" applyFontFormats="0" applyPatternFormats="0" applyAlignmentFormats="0" applyWidthHeightFormats="0" dataCaption="Values" updatedVersion="6" itemPrintTitles="1" indent="0" outline="1" outlineData="1">
  <location ref="A3:D51" firstHeaderRow="1" firstDataRow="2" firstDataCol="1"/>
  <pivotFields count="19">
    <pivotField showAll="0"/>
    <pivotField axis="axisRow" showAll="0">
      <items count="47">
        <item x="35"/>
        <item x="0"/>
        <item x="8"/>
        <item x="5"/>
        <item x="4"/>
        <item x="3"/>
        <item x="6"/>
        <item x="7"/>
        <item x="13"/>
        <item x="14"/>
        <item x="15"/>
        <item x="26"/>
        <item x="25"/>
        <item x="24"/>
        <item x="33"/>
        <item x="31"/>
        <item x="19"/>
        <item x="20"/>
        <item x="30"/>
        <item x="18"/>
        <item x="10"/>
        <item x="27"/>
        <item x="21"/>
        <item x="29"/>
        <item x="32"/>
        <item x="34"/>
        <item x="28"/>
        <item x="22"/>
        <item x="23"/>
        <item x="11"/>
        <item x="9"/>
        <item x="12"/>
        <item x="40"/>
        <item x="39"/>
        <item x="38"/>
        <item x="37"/>
        <item x="36"/>
        <item x="41"/>
        <item x="16"/>
        <item x="17"/>
        <item x="45"/>
        <item x="44"/>
        <item x="43"/>
        <item x="42"/>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1"/>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3">
    <i>
      <x/>
    </i>
    <i i="1">
      <x v="1"/>
    </i>
    <i i="2">
      <x v="2"/>
    </i>
  </colItems>
  <dataFields count="3">
    <dataField name="Sum of Operating Cost " fld="15" baseField="0" baseItem="0" numFmtId="168"/>
    <dataField name="Sum of MS Share" fld="16" baseField="0" baseItem="0" numFmtId="168"/>
    <dataField name="Sum of SG Share" fld="17" baseField="0" baseItem="0" numFmtId="168"/>
  </dataFields>
  <formats count="3">
    <format dxfId="71">
      <pivotArea type="all" dataOnly="0" outline="0" fieldPosition="0"/>
    </format>
    <format dxfId="72">
      <pivotArea type="origin" dataOnly="0" labelOnly="1" outline="0" fieldPosition="0"/>
    </format>
    <format dxfId="73">
      <pivotArea field="1" type="button" dataOnly="0" labelOnly="1" outline="0" axis="axisRow"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8860B"/>
  </sheetPr>
  <dimension ref="B1:N119"/>
  <sheetViews>
    <sheetView showGridLines="0" tabSelected="1" topLeftCell="A4" zoomScale="90" zoomScaleNormal="90" workbookViewId="0">
      <selection activeCell="B4" sqref="B4:K4"/>
    </sheetView>
  </sheetViews>
  <sheetFormatPr defaultColWidth="8.69140625" defaultRowHeight="14.6" x14ac:dyDescent="0.4"/>
  <cols>
    <col min="1" max="1" width="1" customWidth="1"/>
    <col min="2" max="2" width="18" customWidth="1"/>
    <col min="3" max="11" width="14" customWidth="1"/>
    <col min="12" max="12" width="1" customWidth="1"/>
  </cols>
  <sheetData>
    <row r="1" spans="2:14" ht="18" customHeight="1" x14ac:dyDescent="0.4"/>
    <row r="2" spans="2:14" ht="42" customHeight="1" x14ac:dyDescent="0.4">
      <c r="B2" s="120" t="s">
        <v>191</v>
      </c>
      <c r="C2" s="121"/>
      <c r="D2" s="121"/>
      <c r="E2" s="121"/>
      <c r="F2" s="121"/>
      <c r="G2" s="121"/>
      <c r="H2" s="121"/>
      <c r="I2" s="121"/>
      <c r="J2" s="121"/>
      <c r="K2" s="121"/>
    </row>
    <row r="3" spans="2:14" ht="21.75" customHeight="1" x14ac:dyDescent="0.4">
      <c r="B3" s="122" t="s">
        <v>0</v>
      </c>
      <c r="C3" s="122"/>
      <c r="D3" s="122"/>
      <c r="E3" s="122"/>
      <c r="F3" s="122"/>
      <c r="G3" s="122"/>
      <c r="H3" s="122"/>
      <c r="I3" s="122"/>
      <c r="J3" s="122"/>
      <c r="K3" s="122"/>
    </row>
    <row r="4" spans="2:14" ht="21.75" customHeight="1" x14ac:dyDescent="0.4">
      <c r="B4" s="123" t="s">
        <v>1</v>
      </c>
      <c r="C4" s="123"/>
      <c r="D4" s="123"/>
      <c r="E4" s="123"/>
      <c r="F4" s="123"/>
      <c r="G4" s="123"/>
      <c r="H4" s="123"/>
      <c r="I4" s="123"/>
      <c r="J4" s="123"/>
      <c r="K4" s="123"/>
    </row>
    <row r="5" spans="2:14" ht="18" customHeight="1" x14ac:dyDescent="0.4"/>
    <row r="6" spans="2:14" ht="15.75" customHeight="1" x14ac:dyDescent="0.4">
      <c r="B6" s="106" t="s">
        <v>2</v>
      </c>
      <c r="C6" s="106"/>
      <c r="D6" s="106"/>
      <c r="E6" s="106"/>
      <c r="F6" s="106"/>
      <c r="G6" s="106"/>
      <c r="H6" s="106"/>
      <c r="I6" s="106"/>
      <c r="J6" s="106"/>
      <c r="K6" s="106"/>
    </row>
    <row r="7" spans="2:14" ht="15.75" customHeight="1" x14ac:dyDescent="0.4">
      <c r="B7" s="124" t="s">
        <v>3</v>
      </c>
      <c r="C7" s="124"/>
      <c r="D7" s="125" t="s">
        <v>4</v>
      </c>
      <c r="E7" s="125"/>
      <c r="F7" s="112" t="s">
        <v>5</v>
      </c>
      <c r="G7" s="112"/>
      <c r="H7" s="126" t="s">
        <v>192</v>
      </c>
      <c r="I7" s="127"/>
      <c r="J7" s="126" t="s">
        <v>193</v>
      </c>
      <c r="K7" s="127"/>
      <c r="N7" s="102" t="s">
        <v>195</v>
      </c>
    </row>
    <row r="8" spans="2:14" ht="30" customHeight="1" x14ac:dyDescent="0.4">
      <c r="B8" s="116">
        <f>COUNTA('sale resgister'!B2:B100)</f>
        <v>44</v>
      </c>
      <c r="C8" s="116"/>
      <c r="D8" s="117">
        <f>COUNTIF('sale resgister'!M2:M100,"Sold")</f>
        <v>18</v>
      </c>
      <c r="E8" s="117"/>
      <c r="F8" s="118">
        <f>COUNTIF('sale resgister'!M2:M100,"Stock")</f>
        <v>26</v>
      </c>
      <c r="G8" s="118"/>
      <c r="H8" s="119">
        <f>SUM('sale resgister'!H2:H100)</f>
        <v>1020.3537199999997</v>
      </c>
      <c r="I8" s="119"/>
      <c r="J8" s="107">
        <f>'P&amp;L REPORT 1'!J18</f>
        <v>325589.48427000002</v>
      </c>
      <c r="K8" s="107"/>
      <c r="M8" s="100"/>
      <c r="N8" s="101" t="b">
        <f>ROUND(+J8+B10+D10,0)=ROUND(F10+H10+J10,0)</f>
        <v>1</v>
      </c>
    </row>
    <row r="9" spans="2:14" ht="15.75" customHeight="1" x14ac:dyDescent="0.4">
      <c r="B9" s="111" t="s">
        <v>6</v>
      </c>
      <c r="C9" s="112"/>
      <c r="D9" s="111" t="s">
        <v>194</v>
      </c>
      <c r="E9" s="112"/>
      <c r="F9" s="113" t="s">
        <v>7</v>
      </c>
      <c r="G9" s="113"/>
      <c r="H9" s="114" t="s">
        <v>8</v>
      </c>
      <c r="I9" s="114"/>
      <c r="J9" s="115" t="s">
        <v>9</v>
      </c>
      <c r="K9" s="115"/>
    </row>
    <row r="10" spans="2:14" ht="30" customHeight="1" x14ac:dyDescent="0.4">
      <c r="B10" s="107">
        <f>SUM('Pivot Report 2'!C2:C48)+SUM('Pivot Report 2'!D2:D48)+SUM('Pivot Report 2'!B2:B48)</f>
        <v>86631.75</v>
      </c>
      <c r="C10" s="107"/>
      <c r="D10" s="107">
        <f>'P&amp;L REPORT 3'!P15+'P&amp;L REPORT 3'!Q15+'P&amp;L REPORT 3'!R15</f>
        <v>170042.59999999998</v>
      </c>
      <c r="E10" s="107"/>
      <c r="F10" s="108">
        <f>'P&amp;L REPORT 1'!L18+SUM('Pivot Report 2'!C2:C48)+'P&amp;L REPORT 3'!Q15</f>
        <v>296954.54000000004</v>
      </c>
      <c r="G10" s="108"/>
      <c r="H10" s="109">
        <f>'P&amp;L REPORT 1'!M18+SUM('Pivot Report 2'!D2:D48)+'P&amp;L REPORT 3'!R15</f>
        <v>197969.75</v>
      </c>
      <c r="I10" s="109"/>
      <c r="J10" s="110">
        <f>'P&amp;L REPORT 1'!K18+SUM('Pivot Report 2'!B2:B48)+'P&amp;L REPORT 3'!P15</f>
        <v>87339.55</v>
      </c>
      <c r="K10" s="110"/>
      <c r="M10" s="100"/>
    </row>
    <row r="11" spans="2:14" ht="18" customHeight="1" x14ac:dyDescent="0.4"/>
    <row r="12" spans="2:14" ht="15.75" customHeight="1" x14ac:dyDescent="0.4">
      <c r="B12" s="106" t="s">
        <v>10</v>
      </c>
      <c r="C12" s="106"/>
      <c r="D12" s="106"/>
      <c r="E12" s="106"/>
      <c r="F12" s="106"/>
      <c r="G12" s="106"/>
      <c r="H12" s="106"/>
      <c r="I12" s="106"/>
      <c r="J12" s="106"/>
      <c r="K12" s="106"/>
    </row>
    <row r="13" spans="2:14" ht="31.5" customHeight="1" x14ac:dyDescent="0.4">
      <c r="B13" s="2" t="s">
        <v>11</v>
      </c>
      <c r="C13" s="2" t="s">
        <v>12</v>
      </c>
      <c r="D13" s="2" t="s">
        <v>13</v>
      </c>
      <c r="E13" s="2" t="s">
        <v>14</v>
      </c>
      <c r="F13" s="2" t="s">
        <v>15</v>
      </c>
      <c r="G13" s="2" t="s">
        <v>16</v>
      </c>
      <c r="H13" s="2" t="s">
        <v>17</v>
      </c>
      <c r="I13" s="2" t="s">
        <v>18</v>
      </c>
      <c r="J13" s="2" t="s">
        <v>19</v>
      </c>
      <c r="K13" s="2" t="s">
        <v>20</v>
      </c>
    </row>
    <row r="14" spans="2:14" ht="16.5" customHeight="1" x14ac:dyDescent="0.4">
      <c r="B14" s="3" t="str">
        <f>'P&amp;L REPORT 1'!A2</f>
        <v>MBAN32</v>
      </c>
      <c r="C14" s="94">
        <f>'P&amp;L REPORT 1'!B2</f>
        <v>45757</v>
      </c>
      <c r="D14" s="4">
        <f>'P&amp;L REPORT 1'!C2</f>
        <v>46.893000000000001</v>
      </c>
      <c r="E14" s="5">
        <f>'P&amp;L REPORT 1'!D2</f>
        <v>9428</v>
      </c>
      <c r="F14" s="5">
        <f>'P&amp;L REPORT 1'!F2</f>
        <v>0</v>
      </c>
      <c r="G14" s="5">
        <f>'P&amp;L REPORT 1'!H2</f>
        <v>442107.20400000003</v>
      </c>
      <c r="H14" s="5">
        <f>'P&amp;L REPORT 1'!J2</f>
        <v>30947.504280000005</v>
      </c>
      <c r="I14" s="5">
        <f>'P&amp;L REPORT 1'!K2</f>
        <v>4642.13</v>
      </c>
      <c r="J14" s="5">
        <f>'P&amp;L REPORT 1'!L2</f>
        <v>15783.22</v>
      </c>
      <c r="K14" s="5">
        <f>'P&amp;L REPORT 1'!N2</f>
        <v>0</v>
      </c>
    </row>
    <row r="15" spans="2:14" ht="16.5" customHeight="1" x14ac:dyDescent="0.4">
      <c r="B15" s="6" t="str">
        <f>'P&amp;L REPORT 1'!A3</f>
        <v>MBAN37</v>
      </c>
      <c r="C15" s="95">
        <f>'P&amp;L REPORT 1'!B3</f>
        <v>45922</v>
      </c>
      <c r="D15" s="7">
        <f>'P&amp;L REPORT 1'!C3</f>
        <v>26.34</v>
      </c>
      <c r="E15" s="8">
        <f>'P&amp;L REPORT 1'!D3</f>
        <v>10191</v>
      </c>
      <c r="F15" s="8">
        <f>'P&amp;L REPORT 1'!F3</f>
        <v>0</v>
      </c>
      <c r="G15" s="8">
        <f>'P&amp;L REPORT 1'!H3</f>
        <v>268430.94</v>
      </c>
      <c r="H15" s="8">
        <f>'P&amp;L REPORT 1'!J3</f>
        <v>29527.403399999999</v>
      </c>
      <c r="I15" s="8">
        <f>'P&amp;L REPORT 1'!K3</f>
        <v>4429.1099999999997</v>
      </c>
      <c r="J15" s="5">
        <f>'P&amp;L REPORT 1'!L3</f>
        <v>15058.98</v>
      </c>
      <c r="K15" s="8">
        <f>'P&amp;L REPORT 1'!N3</f>
        <v>0</v>
      </c>
    </row>
    <row r="16" spans="2:14" ht="16.5" customHeight="1" x14ac:dyDescent="0.4">
      <c r="B16" s="3" t="str">
        <f>'P&amp;L REPORT 1'!A4</f>
        <v>MBAN38</v>
      </c>
      <c r="C16" s="94">
        <f>'P&amp;L REPORT 1'!B4</f>
        <v>45878</v>
      </c>
      <c r="D16" s="4">
        <f>'P&amp;L REPORT 1'!C4</f>
        <v>29.302</v>
      </c>
      <c r="E16" s="5">
        <f>'P&amp;L REPORT 1'!D4</f>
        <v>9333</v>
      </c>
      <c r="F16" s="5">
        <f>'P&amp;L REPORT 1'!F4</f>
        <v>0</v>
      </c>
      <c r="G16" s="5">
        <f>'P&amp;L REPORT 1'!H4</f>
        <v>273475.56599999999</v>
      </c>
      <c r="H16" s="5">
        <f>'P&amp;L REPORT 1'!J4</f>
        <v>21878.045279999998</v>
      </c>
      <c r="I16" s="5">
        <f>'P&amp;L REPORT 1'!K4</f>
        <v>3281.71</v>
      </c>
      <c r="J16" s="5">
        <f>'P&amp;L REPORT 1'!L4</f>
        <v>11157.8</v>
      </c>
      <c r="K16" s="5">
        <f>'P&amp;L REPORT 1'!N4</f>
        <v>0</v>
      </c>
    </row>
    <row r="17" spans="2:11" ht="16.5" customHeight="1" x14ac:dyDescent="0.4">
      <c r="B17" s="6" t="str">
        <f>'P&amp;L REPORT 1'!A5</f>
        <v>MBRAC7</v>
      </c>
      <c r="C17" s="95">
        <f>'P&amp;L REPORT 1'!B5</f>
        <v>46093</v>
      </c>
      <c r="D17" s="7">
        <f>'P&amp;L REPORT 1'!C5</f>
        <v>3.589</v>
      </c>
      <c r="E17" s="8">
        <f>'P&amp;L REPORT 1'!D5</f>
        <v>14764</v>
      </c>
      <c r="F17" s="8">
        <f>'P&amp;L REPORT 1'!F5</f>
        <v>0</v>
      </c>
      <c r="G17" s="8">
        <f>'P&amp;L REPORT 1'!H5</f>
        <v>52987.995999999999</v>
      </c>
      <c r="H17" s="8">
        <f>'P&amp;L REPORT 1'!J5</f>
        <v>6888.43948</v>
      </c>
      <c r="I17" s="8">
        <f>'P&amp;L REPORT 1'!K5</f>
        <v>1033.27</v>
      </c>
      <c r="J17" s="5">
        <f>'P&amp;L REPORT 1'!L5</f>
        <v>3513.1</v>
      </c>
      <c r="K17" s="8">
        <f>'P&amp;L REPORT 1'!N5</f>
        <v>0</v>
      </c>
    </row>
    <row r="18" spans="2:11" ht="16.5" customHeight="1" x14ac:dyDescent="0.4">
      <c r="B18" s="3" t="str">
        <f>'P&amp;L REPORT 1'!A6</f>
        <v>MBAN41</v>
      </c>
      <c r="C18" s="94">
        <f>'P&amp;L REPORT 1'!B6</f>
        <v>45901</v>
      </c>
      <c r="D18" s="4">
        <f>'P&amp;L REPORT 1'!C6</f>
        <v>47.076000000000001</v>
      </c>
      <c r="E18" s="5">
        <f>'P&amp;L REPORT 1'!D6</f>
        <v>9637</v>
      </c>
      <c r="F18" s="5">
        <f>'P&amp;L REPORT 1'!F6</f>
        <v>0</v>
      </c>
      <c r="G18" s="5">
        <f>'P&amp;L REPORT 1'!H6</f>
        <v>453671.41200000001</v>
      </c>
      <c r="H18" s="5">
        <f>'P&amp;L REPORT 1'!J6</f>
        <v>49903.855320000002</v>
      </c>
      <c r="I18" s="5">
        <f>'P&amp;L REPORT 1'!K6</f>
        <v>7485.58</v>
      </c>
      <c r="J18" s="5">
        <f>'P&amp;L REPORT 1'!L6</f>
        <v>25450.97</v>
      </c>
      <c r="K18" s="5">
        <f>'P&amp;L REPORT 1'!N6</f>
        <v>0</v>
      </c>
    </row>
    <row r="19" spans="2:11" ht="16.5" customHeight="1" x14ac:dyDescent="0.4">
      <c r="B19" s="6" t="str">
        <f>'P&amp;L REPORT 1'!A7</f>
        <v>MRING2</v>
      </c>
      <c r="C19" s="95">
        <f>'P&amp;L REPORT 1'!B7</f>
        <v>45884</v>
      </c>
      <c r="D19" s="7">
        <f>'P&amp;L REPORT 1'!C7</f>
        <v>5.4619999999999997</v>
      </c>
      <c r="E19" s="8">
        <f>'P&amp;L REPORT 1'!D7</f>
        <v>9200</v>
      </c>
      <c r="F19" s="8">
        <f>'P&amp;L REPORT 1'!F7</f>
        <v>0</v>
      </c>
      <c r="G19" s="8">
        <f>'P&amp;L REPORT 1'!H7</f>
        <v>50250.399999999994</v>
      </c>
      <c r="H19" s="8">
        <f>'P&amp;L REPORT 1'!J7</f>
        <v>6281.2999999999993</v>
      </c>
      <c r="I19" s="8">
        <f>'P&amp;L REPORT 1'!K7</f>
        <v>942.2</v>
      </c>
      <c r="J19" s="5">
        <f>'P&amp;L REPORT 1'!L7</f>
        <v>3203.46</v>
      </c>
      <c r="K19" s="8">
        <f>'P&amp;L REPORT 1'!N7</f>
        <v>0</v>
      </c>
    </row>
    <row r="20" spans="2:11" ht="16.5" customHeight="1" x14ac:dyDescent="0.4">
      <c r="B20" s="3" t="str">
        <f>'P&amp;L REPORT 1'!A8</f>
        <v>MRING3</v>
      </c>
      <c r="C20" s="94">
        <f>'P&amp;L REPORT 1'!B8</f>
        <v>45986</v>
      </c>
      <c r="D20" s="4">
        <f>'P&amp;L REPORT 1'!C8</f>
        <v>3.5009999999999999</v>
      </c>
      <c r="E20" s="5">
        <f>'P&amp;L REPORT 1'!D8</f>
        <v>11316</v>
      </c>
      <c r="F20" s="5">
        <f>'P&amp;L REPORT 1'!F8</f>
        <v>0</v>
      </c>
      <c r="G20" s="5">
        <f>'P&amp;L REPORT 1'!H8</f>
        <v>39617.315999999999</v>
      </c>
      <c r="H20" s="5">
        <f>'P&amp;L REPORT 1'!J8</f>
        <v>5546.4242400000003</v>
      </c>
      <c r="I20" s="5">
        <f>'P&amp;L REPORT 1'!K8</f>
        <v>831.96</v>
      </c>
      <c r="J20" s="5">
        <f>'P&amp;L REPORT 1'!L8</f>
        <v>2828.68</v>
      </c>
      <c r="K20" s="5">
        <f>'P&amp;L REPORT 1'!N8</f>
        <v>0</v>
      </c>
    </row>
    <row r="21" spans="2:11" ht="16.5" customHeight="1" x14ac:dyDescent="0.4">
      <c r="B21" s="6" t="str">
        <f>'P&amp;L REPORT 1'!A9</f>
        <v>MBRAC12</v>
      </c>
      <c r="C21" s="95">
        <f>'P&amp;L REPORT 1'!B9</f>
        <v>46017</v>
      </c>
      <c r="D21" s="7">
        <f>'P&amp;L REPORT 1'!C9</f>
        <v>25.231000000000002</v>
      </c>
      <c r="E21" s="8">
        <f>'P&amp;L REPORT 1'!D9</f>
        <v>12737</v>
      </c>
      <c r="F21" s="8">
        <f>'P&amp;L REPORT 1'!F9</f>
        <v>0</v>
      </c>
      <c r="G21" s="8">
        <f>'P&amp;L REPORT 1'!H9</f>
        <v>321367.24700000003</v>
      </c>
      <c r="H21" s="8">
        <f>'P&amp;L REPORT 1'!J9</f>
        <v>48205.087050000002</v>
      </c>
      <c r="I21" s="8">
        <f>'P&amp;L REPORT 1'!K9</f>
        <v>7230.76</v>
      </c>
      <c r="J21" s="5">
        <f>'P&amp;L REPORT 1'!L9</f>
        <v>24584.6</v>
      </c>
      <c r="K21" s="8">
        <f>'P&amp;L REPORT 1'!N9</f>
        <v>0</v>
      </c>
    </row>
    <row r="22" spans="2:11" ht="16.5" customHeight="1" x14ac:dyDescent="0.4">
      <c r="B22" s="3" t="str">
        <f>'P&amp;L REPORT 1'!A10</f>
        <v>MBRAC14</v>
      </c>
      <c r="C22" s="94">
        <f>'P&amp;L REPORT 1'!B10</f>
        <v>46053</v>
      </c>
      <c r="D22" s="4">
        <f>'P&amp;L REPORT 1'!C10</f>
        <v>33.417999999999999</v>
      </c>
      <c r="E22" s="5">
        <f>'P&amp;L REPORT 1'!D10</f>
        <v>13487</v>
      </c>
      <c r="F22" s="5">
        <f>'P&amp;L REPORT 1'!F10</f>
        <v>0</v>
      </c>
      <c r="G22" s="5">
        <f>'P&amp;L REPORT 1'!H10</f>
        <v>450708.56599999999</v>
      </c>
      <c r="H22" s="5">
        <f>'P&amp;L REPORT 1'!J10</f>
        <v>58592.113579999997</v>
      </c>
      <c r="I22" s="5">
        <f>'P&amp;L REPORT 1'!K10</f>
        <v>8788.82</v>
      </c>
      <c r="J22" s="5">
        <f>'P&amp;L REPORT 1'!L10</f>
        <v>29881.98</v>
      </c>
      <c r="K22" s="5">
        <f>'P&amp;L REPORT 1'!N10</f>
        <v>0</v>
      </c>
    </row>
    <row r="23" spans="2:11" ht="16.5" customHeight="1" x14ac:dyDescent="0.4">
      <c r="B23" s="6" t="str">
        <f>'P&amp;L REPORT 1'!A11</f>
        <v>MBRAC11</v>
      </c>
      <c r="C23" s="95">
        <f>'P&amp;L REPORT 1'!B11</f>
        <v>46049</v>
      </c>
      <c r="D23" s="7">
        <f>'P&amp;L REPORT 1'!C11</f>
        <v>30.626999999999999</v>
      </c>
      <c r="E23" s="8">
        <f>'P&amp;L REPORT 1'!D11</f>
        <v>15100</v>
      </c>
      <c r="F23" s="8">
        <f>'P&amp;L REPORT 1'!F11</f>
        <v>0</v>
      </c>
      <c r="G23" s="8">
        <f>'P&amp;L REPORT 1'!H11</f>
        <v>462467.7</v>
      </c>
      <c r="H23" s="8">
        <f>'P&amp;L REPORT 1'!J11</f>
        <v>43934.431499999999</v>
      </c>
      <c r="I23" s="8">
        <f>'P&amp;L REPORT 1'!K11</f>
        <v>6590.16</v>
      </c>
      <c r="J23" s="5">
        <f>'P&amp;L REPORT 1'!L11</f>
        <v>22406.560000000001</v>
      </c>
      <c r="K23" s="8">
        <f>'P&amp;L REPORT 1'!N11</f>
        <v>0</v>
      </c>
    </row>
    <row r="24" spans="2:11" ht="16.5" customHeight="1" x14ac:dyDescent="0.4">
      <c r="B24" s="3" t="str">
        <f>'P&amp;L REPORT 1'!A12</f>
        <v>MPENDAL5</v>
      </c>
      <c r="C24" s="94">
        <f>'P&amp;L REPORT 1'!B12</f>
        <v>45968</v>
      </c>
      <c r="D24" s="4">
        <f>'P&amp;L REPORT 1'!C12</f>
        <v>1.052</v>
      </c>
      <c r="E24" s="5">
        <f>'P&amp;L REPORT 1'!D12</f>
        <v>10601</v>
      </c>
      <c r="F24" s="5">
        <f>'P&amp;L REPORT 1'!F12</f>
        <v>0</v>
      </c>
      <c r="G24" s="5">
        <f>'P&amp;L REPORT 1'!H12</f>
        <v>11152.252</v>
      </c>
      <c r="H24" s="5">
        <f>'P&amp;L REPORT 1'!J12</f>
        <v>1449.79276</v>
      </c>
      <c r="I24" s="5">
        <f>'P&amp;L REPORT 1'!K12</f>
        <v>217.47</v>
      </c>
      <c r="J24" s="5">
        <f>'P&amp;L REPORT 1'!L12</f>
        <v>739.39</v>
      </c>
      <c r="K24" s="5">
        <f>'P&amp;L REPORT 1'!N12</f>
        <v>0</v>
      </c>
    </row>
    <row r="25" spans="2:11" ht="16.5" customHeight="1" x14ac:dyDescent="0.4">
      <c r="B25" s="6" t="str">
        <f>'P&amp;L REPORT 1'!A13</f>
        <v>MPENDAL7</v>
      </c>
      <c r="C25" s="95">
        <f>'P&amp;L REPORT 1'!B13</f>
        <v>46039</v>
      </c>
      <c r="D25" s="7">
        <f>'P&amp;L REPORT 1'!C13</f>
        <v>2.093</v>
      </c>
      <c r="E25" s="8">
        <f>'P&amp;L REPORT 1'!D13</f>
        <v>13075</v>
      </c>
      <c r="F25" s="8">
        <f>'P&amp;L REPORT 1'!F13</f>
        <v>0</v>
      </c>
      <c r="G25" s="8">
        <f>'P&amp;L REPORT 1'!H13</f>
        <v>27365.974999999999</v>
      </c>
      <c r="H25" s="8">
        <f>'P&amp;L REPORT 1'!J13</f>
        <v>3010.2572499999997</v>
      </c>
      <c r="I25" s="8">
        <f>'P&amp;L REPORT 1'!K13</f>
        <v>451.54</v>
      </c>
      <c r="J25" s="5">
        <f>'P&amp;L REPORT 1'!L13</f>
        <v>1535.23</v>
      </c>
      <c r="K25" s="8">
        <f>'P&amp;L REPORT 1'!N13</f>
        <v>0</v>
      </c>
    </row>
    <row r="26" spans="2:11" ht="16.5" customHeight="1" x14ac:dyDescent="0.4">
      <c r="B26" s="3" t="str">
        <f>'P&amp;L REPORT 1'!A14</f>
        <v>MRING4</v>
      </c>
      <c r="C26" s="94">
        <f>'P&amp;L REPORT 1'!B14</f>
        <v>45985</v>
      </c>
      <c r="D26" s="4">
        <f>'P&amp;L REPORT 1'!C14</f>
        <v>2.1789999999999998</v>
      </c>
      <c r="E26" s="5">
        <f>'P&amp;L REPORT 1'!D14</f>
        <v>11343</v>
      </c>
      <c r="F26" s="5">
        <f>'P&amp;L REPORT 1'!F14</f>
        <v>0</v>
      </c>
      <c r="G26" s="5">
        <f>'P&amp;L REPORT 1'!H14</f>
        <v>24716.396999999997</v>
      </c>
      <c r="H26" s="5">
        <f>'P&amp;L REPORT 1'!J14</f>
        <v>2965.9676399999994</v>
      </c>
      <c r="I26" s="5">
        <f>'P&amp;L REPORT 1'!K14</f>
        <v>444.9</v>
      </c>
      <c r="J26" s="5">
        <f>'P&amp;L REPORT 1'!L14</f>
        <v>1512.64</v>
      </c>
      <c r="K26" s="5">
        <f>'P&amp;L REPORT 1'!N14</f>
        <v>0</v>
      </c>
    </row>
    <row r="27" spans="2:11" ht="16.5" customHeight="1" x14ac:dyDescent="0.4">
      <c r="B27" s="6" t="str">
        <f>'P&amp;L REPORT 1'!A15</f>
        <v>MRING5</v>
      </c>
      <c r="C27" s="95">
        <f>'P&amp;L REPORT 1'!B15</f>
        <v>46050</v>
      </c>
      <c r="D27" s="7">
        <f>'P&amp;L REPORT 1'!C15</f>
        <v>1.577</v>
      </c>
      <c r="E27" s="8">
        <f>'P&amp;L REPORT 1'!D15</f>
        <v>12565</v>
      </c>
      <c r="F27" s="8">
        <f>'P&amp;L REPORT 1'!F15</f>
        <v>0</v>
      </c>
      <c r="G27" s="8">
        <f>'P&amp;L REPORT 1'!H15</f>
        <v>19815.005000000001</v>
      </c>
      <c r="H27" s="8">
        <f>'P&amp;L REPORT 1'!J15</f>
        <v>4557.4511500000008</v>
      </c>
      <c r="I27" s="8">
        <f>'P&amp;L REPORT 1'!K15</f>
        <v>683.62</v>
      </c>
      <c r="J27" s="5">
        <f>'P&amp;L REPORT 1'!L15</f>
        <v>2324.3000000000002</v>
      </c>
      <c r="K27" s="8">
        <f>'P&amp;L REPORT 1'!N15</f>
        <v>0</v>
      </c>
    </row>
    <row r="28" spans="2:11" ht="16.5" customHeight="1" x14ac:dyDescent="0.4">
      <c r="B28" s="3" t="str">
        <f>'P&amp;L REPORT 1'!A16</f>
        <v>MRING7</v>
      </c>
      <c r="C28" s="94">
        <f>'P&amp;L REPORT 1'!B16</f>
        <v>45972</v>
      </c>
      <c r="D28" s="4">
        <f>'P&amp;L REPORT 1'!C16</f>
        <v>3.23</v>
      </c>
      <c r="E28" s="5">
        <f>'P&amp;L REPORT 1'!D16</f>
        <v>11459</v>
      </c>
      <c r="F28" s="5">
        <f>'P&amp;L REPORT 1'!F16</f>
        <v>0</v>
      </c>
      <c r="G28" s="5">
        <f>'P&amp;L REPORT 1'!H16</f>
        <v>37012.57</v>
      </c>
      <c r="H28" s="5">
        <f>'P&amp;L REPORT 1'!J16</f>
        <v>4811.6341000000002</v>
      </c>
      <c r="I28" s="5">
        <f>'P&amp;L REPORT 1'!K16</f>
        <v>721.75</v>
      </c>
      <c r="J28" s="5">
        <f>'P&amp;L REPORT 1'!L16</f>
        <v>2453.9299999999998</v>
      </c>
      <c r="K28" s="5">
        <f>'P&amp;L REPORT 1'!N16</f>
        <v>0</v>
      </c>
    </row>
    <row r="29" spans="2:11" ht="16.5" customHeight="1" x14ac:dyDescent="0.4">
      <c r="B29" s="6" t="str">
        <f>'P&amp;L REPORT 1'!A17</f>
        <v>MRING8</v>
      </c>
      <c r="C29" s="95">
        <f>'P&amp;L REPORT 1'!B17</f>
        <v>46003</v>
      </c>
      <c r="D29" s="7">
        <f>'P&amp;L REPORT 1'!C17</f>
        <v>4.431</v>
      </c>
      <c r="E29" s="8">
        <f>'P&amp;L REPORT 1'!D17</f>
        <v>12308</v>
      </c>
      <c r="F29" s="8">
        <f>'P&amp;L REPORT 1'!F17</f>
        <v>0</v>
      </c>
      <c r="G29" s="8">
        <f>'P&amp;L REPORT 1'!H17</f>
        <v>54536.748</v>
      </c>
      <c r="H29" s="8">
        <f>'P&amp;L REPORT 1'!J17</f>
        <v>7089.7772400000003</v>
      </c>
      <c r="I29" s="8">
        <f>'P&amp;L REPORT 1'!K17</f>
        <v>1063.47</v>
      </c>
      <c r="J29" s="5">
        <f>'P&amp;L REPORT 1'!L17</f>
        <v>3615.78</v>
      </c>
      <c r="K29" s="8">
        <f>'P&amp;L REPORT 1'!N17</f>
        <v>0</v>
      </c>
    </row>
    <row r="30" spans="2:11" ht="19.5" customHeight="1" x14ac:dyDescent="0.4">
      <c r="B30" s="9" t="s">
        <v>21</v>
      </c>
      <c r="C30" s="9"/>
      <c r="D30" s="10">
        <f t="shared" ref="D30:I30" si="0">SUM(D14:D29)</f>
        <v>266.00099999999998</v>
      </c>
      <c r="E30" s="11">
        <f t="shared" si="0"/>
        <v>186544</v>
      </c>
      <c r="F30" s="11">
        <f t="shared" si="0"/>
        <v>0</v>
      </c>
      <c r="G30" s="11">
        <f t="shared" si="0"/>
        <v>2989683.2940000002</v>
      </c>
      <c r="H30" s="11">
        <f t="shared" si="0"/>
        <v>325589.48427000002</v>
      </c>
      <c r="I30" s="11">
        <f t="shared" si="0"/>
        <v>48838.450000000004</v>
      </c>
      <c r="J30" s="11">
        <f>SUM(J14:J29)</f>
        <v>166050.62000000002</v>
      </c>
      <c r="K30" s="11">
        <f>'P&amp;L REPORT 1'!N18</f>
        <v>0</v>
      </c>
    </row>
    <row r="31" spans="2:11" ht="18" customHeight="1" x14ac:dyDescent="0.4"/>
    <row r="32" spans="2:11" ht="15.75" customHeight="1" x14ac:dyDescent="0.4">
      <c r="B32" s="106" t="s">
        <v>22</v>
      </c>
      <c r="C32" s="106"/>
      <c r="D32" s="106"/>
      <c r="E32" s="106"/>
      <c r="F32" s="106"/>
      <c r="G32" s="106"/>
      <c r="H32" s="106"/>
      <c r="I32" s="106"/>
      <c r="J32" s="106"/>
      <c r="K32" s="106"/>
    </row>
    <row r="33" spans="2:11" ht="31.5" customHeight="1" x14ac:dyDescent="0.4">
      <c r="B33" s="12" t="s">
        <v>11</v>
      </c>
      <c r="C33" s="12" t="s">
        <v>23</v>
      </c>
      <c r="D33" s="12" t="s">
        <v>24</v>
      </c>
      <c r="E33" s="12" t="s">
        <v>25</v>
      </c>
      <c r="F33" s="12" t="s">
        <v>26</v>
      </c>
      <c r="G33" s="12" t="s">
        <v>27</v>
      </c>
      <c r="H33" s="12" t="s">
        <v>28</v>
      </c>
      <c r="I33" s="12" t="s">
        <v>29</v>
      </c>
      <c r="J33" s="84" t="s">
        <v>88</v>
      </c>
      <c r="K33" s="12" t="s">
        <v>30</v>
      </c>
    </row>
    <row r="34" spans="2:11" ht="16.5" customHeight="1" x14ac:dyDescent="0.4">
      <c r="B34" s="13" t="s">
        <v>31</v>
      </c>
      <c r="C34" s="14" t="str">
        <f>IF(D34&gt;"","Sold","Stock")</f>
        <v>Stock</v>
      </c>
      <c r="D34" s="85">
        <f>(VLOOKUP(B34,'sale resgister'!B:J,8,0))</f>
        <v>0</v>
      </c>
      <c r="E34" s="16">
        <f>VLOOKUP(B34,'sale resgister'!B:D,3,0)</f>
        <v>18</v>
      </c>
      <c r="F34" s="89">
        <f>VLOOKUP(B34,'Pivot Report 2'!A:D,2,0)</f>
        <v>0</v>
      </c>
      <c r="G34" s="89">
        <f>VLOOKUP(B34,'Pivot Report 2'!A:D,3,0)</f>
        <v>0</v>
      </c>
      <c r="H34" s="89">
        <f>VLOOKUP(B34,'Pivot Report 2'!A:D,4,0)</f>
        <v>0</v>
      </c>
      <c r="I34" s="18">
        <f>SUMIF('P&amp;L REPORT 2'!B:B,B34,'P&amp;L REPORT 2'!S:S)</f>
        <v>0</v>
      </c>
      <c r="J34" s="15" t="str">
        <f>VLOOKUP(B34,'sale resgister'!B:C,2,0)</f>
        <v>Batch 3</v>
      </c>
      <c r="K34" s="19" t="s">
        <v>33</v>
      </c>
    </row>
    <row r="35" spans="2:11" ht="16.5" customHeight="1" x14ac:dyDescent="0.4">
      <c r="B35" s="13" t="s">
        <v>34</v>
      </c>
      <c r="C35" s="14" t="str">
        <f t="shared" ref="C35:C77" si="1">IF(D35&gt;"","Sold","Stock")</f>
        <v>Stock</v>
      </c>
      <c r="D35" s="85">
        <f>(VLOOKUP(B35,'sale resgister'!B:J,8,0))</f>
        <v>0</v>
      </c>
      <c r="E35" s="16">
        <f>VLOOKUP(B35,'sale resgister'!B:D,3,0)</f>
        <v>22</v>
      </c>
      <c r="F35" s="89">
        <f>VLOOKUP(B35,'Pivot Report 2'!A:D,2,0)</f>
        <v>0</v>
      </c>
      <c r="G35" s="89">
        <f>VLOOKUP(B35,'Pivot Report 2'!A:D,3,0)</f>
        <v>0</v>
      </c>
      <c r="H35" s="89">
        <f>VLOOKUP(B35,'Pivot Report 2'!A:D,4,0)</f>
        <v>0</v>
      </c>
      <c r="I35" s="18">
        <f>SUMIF('P&amp;L REPORT 2'!B:B,B35,'P&amp;L REPORT 2'!S:S)</f>
        <v>0</v>
      </c>
      <c r="J35" s="15" t="str">
        <f>VLOOKUP(B35,'sale resgister'!B:C,2,0)</f>
        <v>Batch 1</v>
      </c>
      <c r="K35" s="19" t="s">
        <v>33</v>
      </c>
    </row>
    <row r="36" spans="2:11" ht="16.5" customHeight="1" x14ac:dyDescent="0.4">
      <c r="B36" s="13" t="s">
        <v>35</v>
      </c>
      <c r="C36" s="14" t="str">
        <f t="shared" si="1"/>
        <v>Stock</v>
      </c>
      <c r="D36" s="85">
        <f>(VLOOKUP(B36,'sale resgister'!B:J,8,0))</f>
        <v>0</v>
      </c>
      <c r="E36" s="16">
        <f>VLOOKUP(B36,'sale resgister'!B:D,3,0)</f>
        <v>22</v>
      </c>
      <c r="F36" s="89">
        <f>VLOOKUP(B36,'Pivot Report 2'!A:D,2,0)</f>
        <v>0</v>
      </c>
      <c r="G36" s="89">
        <f>VLOOKUP(B36,'Pivot Report 2'!A:D,3,0)</f>
        <v>0</v>
      </c>
      <c r="H36" s="89">
        <f>VLOOKUP(B36,'Pivot Report 2'!A:D,4,0)</f>
        <v>0</v>
      </c>
      <c r="I36" s="18">
        <f>SUMIF('P&amp;L REPORT 2'!B:B,B36,'P&amp;L REPORT 2'!S:S)</f>
        <v>0</v>
      </c>
      <c r="J36" s="15" t="str">
        <f>VLOOKUP(B36,'sale resgister'!B:C,2,0)</f>
        <v>Batch 1</v>
      </c>
      <c r="K36" s="19" t="s">
        <v>33</v>
      </c>
    </row>
    <row r="37" spans="2:11" ht="16.5" customHeight="1" x14ac:dyDescent="0.4">
      <c r="B37" s="13" t="s">
        <v>36</v>
      </c>
      <c r="C37" s="14" t="str">
        <f t="shared" si="1"/>
        <v>Stock</v>
      </c>
      <c r="D37" s="85">
        <f>(VLOOKUP(B37,'sale resgister'!B:J,8,0))</f>
        <v>0</v>
      </c>
      <c r="E37" s="16">
        <f>VLOOKUP(B37,'sale resgister'!B:D,3,0)</f>
        <v>22</v>
      </c>
      <c r="F37" s="89">
        <f>VLOOKUP(B37,'Pivot Report 2'!A:D,2,0)</f>
        <v>0</v>
      </c>
      <c r="G37" s="89">
        <f>VLOOKUP(B37,'Pivot Report 2'!A:D,3,0)</f>
        <v>0</v>
      </c>
      <c r="H37" s="89">
        <f>VLOOKUP(B37,'Pivot Report 2'!A:D,4,0)</f>
        <v>0</v>
      </c>
      <c r="I37" s="18">
        <f>SUMIF('P&amp;L REPORT 2'!B:B,B37,'P&amp;L REPORT 2'!S:S)</f>
        <v>0</v>
      </c>
      <c r="J37" s="15" t="str">
        <f>VLOOKUP(B37,'sale resgister'!B:C,2,0)</f>
        <v>Batch 1</v>
      </c>
      <c r="K37" s="19" t="s">
        <v>33</v>
      </c>
    </row>
    <row r="38" spans="2:11" ht="16.5" customHeight="1" x14ac:dyDescent="0.4">
      <c r="B38" s="13" t="s">
        <v>37</v>
      </c>
      <c r="C38" s="14" t="str">
        <f t="shared" si="1"/>
        <v>Stock</v>
      </c>
      <c r="D38" s="85">
        <f>(VLOOKUP(B38,'sale resgister'!B:J,8,0))</f>
        <v>0</v>
      </c>
      <c r="E38" s="16">
        <f>VLOOKUP(B38,'sale resgister'!B:D,3,0)</f>
        <v>22</v>
      </c>
      <c r="F38" s="89">
        <f>VLOOKUP(B38,'Pivot Report 2'!A:D,2,0)</f>
        <v>0</v>
      </c>
      <c r="G38" s="89">
        <f>VLOOKUP(B38,'Pivot Report 2'!A:D,3,0)</f>
        <v>0</v>
      </c>
      <c r="H38" s="89">
        <f>VLOOKUP(B38,'Pivot Report 2'!A:D,4,0)</f>
        <v>0</v>
      </c>
      <c r="I38" s="18">
        <f>SUMIF('P&amp;L REPORT 2'!B:B,B38,'P&amp;L REPORT 2'!S:S)</f>
        <v>0</v>
      </c>
      <c r="J38" s="15" t="str">
        <f>VLOOKUP(B38,'sale resgister'!B:C,2,0)</f>
        <v>Batch 1</v>
      </c>
      <c r="K38" s="19" t="s">
        <v>33</v>
      </c>
    </row>
    <row r="39" spans="2:11" ht="16.5" customHeight="1" x14ac:dyDescent="0.4">
      <c r="B39" s="20" t="s">
        <v>38</v>
      </c>
      <c r="C39" s="21" t="str">
        <f t="shared" si="1"/>
        <v>Stock</v>
      </c>
      <c r="D39" s="86">
        <f>(VLOOKUP(B39,'sale resgister'!B:J,8,0))</f>
        <v>0</v>
      </c>
      <c r="E39" s="23">
        <f>VLOOKUP(B39,'sale resgister'!B:D,3,0)</f>
        <v>22</v>
      </c>
      <c r="F39" s="90">
        <f>VLOOKUP(B39,'Pivot Report 2'!A:D,2,0)</f>
        <v>3848.81</v>
      </c>
      <c r="G39" s="90">
        <f>VLOOKUP(B39,'Pivot Report 2'!A:D,3,0)</f>
        <v>13085.96</v>
      </c>
      <c r="H39" s="90">
        <f>VLOOKUP(B39,'Pivot Report 2'!A:D,4,0)</f>
        <v>8723.99</v>
      </c>
      <c r="I39" s="24">
        <f ca="1">SUMIF('P&amp;L REPORT 2'!B:S,B39,'P&amp;L REPORT 2'!S:S)</f>
        <v>0.95299999999999985</v>
      </c>
      <c r="J39" s="22" t="str">
        <f>VLOOKUP(B39,'sale resgister'!B:C,2,0)</f>
        <v>Batch 1</v>
      </c>
      <c r="K39" s="25" t="s">
        <v>40</v>
      </c>
    </row>
    <row r="40" spans="2:11" ht="16.5" customHeight="1" x14ac:dyDescent="0.4">
      <c r="B40" s="87" t="s">
        <v>117</v>
      </c>
      <c r="C40" s="14" t="str">
        <f t="shared" si="1"/>
        <v>Stock</v>
      </c>
      <c r="D40" s="85">
        <f>(VLOOKUP(B40,'sale resgister'!B:J,8,0))</f>
        <v>0</v>
      </c>
      <c r="E40" s="16">
        <f>VLOOKUP(B40,'sale resgister'!B:D,3,0)</f>
        <v>22</v>
      </c>
      <c r="F40" s="89">
        <f>VLOOKUP(B40,'Pivot Report 2'!A:D,2,0)</f>
        <v>0</v>
      </c>
      <c r="G40" s="89">
        <f>VLOOKUP(B40,'Pivot Report 2'!A:D,3,0)</f>
        <v>0</v>
      </c>
      <c r="H40" s="89">
        <f>VLOOKUP(B40,'Pivot Report 2'!A:D,4,0)</f>
        <v>0</v>
      </c>
      <c r="I40" s="18">
        <f ca="1">SUMIF('P&amp;L REPORT 2'!B:S,B40,'P&amp;L REPORT 2'!S:S)</f>
        <v>0</v>
      </c>
      <c r="J40" s="15" t="str">
        <f>VLOOKUP(B40,'sale resgister'!B:C,2,0)</f>
        <v>Batch 1</v>
      </c>
      <c r="K40" s="19" t="s">
        <v>33</v>
      </c>
    </row>
    <row r="41" spans="2:11" ht="16.5" customHeight="1" x14ac:dyDescent="0.4">
      <c r="B41" s="88" t="s">
        <v>118</v>
      </c>
      <c r="C41" s="21" t="str">
        <f t="shared" si="1"/>
        <v>Stock</v>
      </c>
      <c r="D41" s="86">
        <f>(VLOOKUP(B41,'sale resgister'!B:J,8,0))</f>
        <v>0</v>
      </c>
      <c r="E41" s="23">
        <f>VLOOKUP(B41,'sale resgister'!B:D,3,0)</f>
        <v>22</v>
      </c>
      <c r="F41" s="90">
        <f>VLOOKUP(B41,'Pivot Report 2'!A:D,2,0)</f>
        <v>1424.14</v>
      </c>
      <c r="G41" s="90">
        <f>VLOOKUP(B41,'Pivot Report 2'!A:D,3,0)</f>
        <v>4842.1000000000004</v>
      </c>
      <c r="H41" s="90">
        <f>VLOOKUP(B41,'Pivot Report 2'!A:D,4,0)</f>
        <v>3228.08</v>
      </c>
      <c r="I41" s="24">
        <f ca="1">SUMIF('P&amp;L REPORT 2'!B:S,B41,'P&amp;L REPORT 2'!S:S)</f>
        <v>0.31199999999999994</v>
      </c>
      <c r="J41" s="22" t="str">
        <f>VLOOKUP(B41,'sale resgister'!B:C,2,0)</f>
        <v>Batch 1</v>
      </c>
      <c r="K41" s="25" t="s">
        <v>40</v>
      </c>
    </row>
    <row r="42" spans="2:11" ht="16.5" customHeight="1" x14ac:dyDescent="0.4">
      <c r="B42" s="20" t="s">
        <v>41</v>
      </c>
      <c r="C42" s="21" t="str">
        <f t="shared" si="1"/>
        <v>Stock</v>
      </c>
      <c r="D42" s="86">
        <f>(VLOOKUP(B42,'sale resgister'!B:J,8,0))</f>
        <v>0</v>
      </c>
      <c r="E42" s="23">
        <f>VLOOKUP(B42,'sale resgister'!B:D,3,0)</f>
        <v>22</v>
      </c>
      <c r="F42" s="90">
        <f>VLOOKUP(B42,'Pivot Report 2'!A:D,2,0)</f>
        <v>846.37000000000012</v>
      </c>
      <c r="G42" s="90">
        <f>VLOOKUP(B42,'Pivot Report 2'!A:D,3,0)</f>
        <v>2877.6800000000003</v>
      </c>
      <c r="H42" s="90">
        <f>VLOOKUP(B42,'Pivot Report 2'!A:D,4,0)</f>
        <v>1918.4499999999998</v>
      </c>
      <c r="I42" s="24">
        <f ca="1">SUMIF('P&amp;L REPORT 2'!B:S,B42,'P&amp;L REPORT 2'!S:S)</f>
        <v>0.184</v>
      </c>
      <c r="J42" s="22" t="str">
        <f>VLOOKUP(B42,'sale resgister'!B:C,2,0)</f>
        <v>Batch 2</v>
      </c>
      <c r="K42" s="25" t="s">
        <v>40</v>
      </c>
    </row>
    <row r="43" spans="2:11" ht="16.5" customHeight="1" x14ac:dyDescent="0.4">
      <c r="B43" s="20" t="s">
        <v>42</v>
      </c>
      <c r="C43" s="21" t="str">
        <f t="shared" si="1"/>
        <v>Stock</v>
      </c>
      <c r="D43" s="86">
        <f>(VLOOKUP(B43,'sale resgister'!B:J,8,0))</f>
        <v>0</v>
      </c>
      <c r="E43" s="23">
        <f>VLOOKUP(B43,'sale resgister'!B:D,3,0)</f>
        <v>22</v>
      </c>
      <c r="F43" s="90">
        <f>VLOOKUP(B43,'Pivot Report 2'!A:D,2,0)</f>
        <v>846.37000000000012</v>
      </c>
      <c r="G43" s="90">
        <f>VLOOKUP(B43,'Pivot Report 2'!A:D,3,0)</f>
        <v>2877.6800000000003</v>
      </c>
      <c r="H43" s="90">
        <f>VLOOKUP(B43,'Pivot Report 2'!A:D,4,0)</f>
        <v>1918.4499999999998</v>
      </c>
      <c r="I43" s="24">
        <f ca="1">SUMIF('P&amp;L REPORT 2'!B:S,B43,'P&amp;L REPORT 2'!S:S)</f>
        <v>0.184</v>
      </c>
      <c r="J43" s="22" t="str">
        <f>VLOOKUP(B43,'sale resgister'!B:C,2,0)</f>
        <v>Batch 2</v>
      </c>
      <c r="K43" s="25" t="s">
        <v>40</v>
      </c>
    </row>
    <row r="44" spans="2:11" ht="16.5" customHeight="1" x14ac:dyDescent="0.4">
      <c r="B44" s="20" t="s">
        <v>43</v>
      </c>
      <c r="C44" s="21" t="str">
        <f t="shared" si="1"/>
        <v>Stock</v>
      </c>
      <c r="D44" s="86">
        <f>(VLOOKUP(B44,'sale resgister'!B:J,8,0))</f>
        <v>0</v>
      </c>
      <c r="E44" s="23">
        <f>VLOOKUP(B44,'sale resgister'!B:D,3,0)</f>
        <v>22</v>
      </c>
      <c r="F44" s="90">
        <f>VLOOKUP(B44,'Pivot Report 2'!A:D,2,0)</f>
        <v>846.37000000000012</v>
      </c>
      <c r="G44" s="90">
        <f>VLOOKUP(B44,'Pivot Report 2'!A:D,3,0)</f>
        <v>2877.6800000000003</v>
      </c>
      <c r="H44" s="90">
        <f>VLOOKUP(B44,'Pivot Report 2'!A:D,4,0)</f>
        <v>1918.4499999999998</v>
      </c>
      <c r="I44" s="24">
        <f ca="1">SUMIF('P&amp;L REPORT 2'!B:S,B44,'P&amp;L REPORT 2'!S:S)</f>
        <v>0.184</v>
      </c>
      <c r="J44" s="22" t="str">
        <f>VLOOKUP(B44,'sale resgister'!B:C,2,0)</f>
        <v>Batch 2</v>
      </c>
      <c r="K44" s="25" t="s">
        <v>40</v>
      </c>
    </row>
    <row r="45" spans="2:11" ht="16.5" customHeight="1" x14ac:dyDescent="0.4">
      <c r="B45" s="13" t="s">
        <v>44</v>
      </c>
      <c r="C45" s="14" t="str">
        <f t="shared" si="1"/>
        <v>Stock</v>
      </c>
      <c r="D45" s="85">
        <f>(VLOOKUP(B45,'sale resgister'!B:J,8,0))</f>
        <v>0</v>
      </c>
      <c r="E45" s="16">
        <f>VLOOKUP(B45,'sale resgister'!B:D,3,0)</f>
        <v>22</v>
      </c>
      <c r="F45" s="89">
        <f>VLOOKUP(B45,'Pivot Report 2'!A:D,2,0)</f>
        <v>0</v>
      </c>
      <c r="G45" s="89">
        <f>VLOOKUP(B45,'Pivot Report 2'!A:D,3,0)</f>
        <v>0</v>
      </c>
      <c r="H45" s="89">
        <f>VLOOKUP(B45,'Pivot Report 2'!A:D,4,0)</f>
        <v>0</v>
      </c>
      <c r="I45" s="18">
        <f>SUMIF('P&amp;L REPORT 2'!B:B,B45,'P&amp;L REPORT 2'!S:S)</f>
        <v>0</v>
      </c>
      <c r="J45" s="15" t="str">
        <f>VLOOKUP(B45,'sale resgister'!B:C,2,0)</f>
        <v>Batch 3</v>
      </c>
      <c r="K45" s="19" t="s">
        <v>33</v>
      </c>
    </row>
    <row r="46" spans="2:11" ht="16.5" customHeight="1" x14ac:dyDescent="0.4">
      <c r="B46" s="13" t="s">
        <v>45</v>
      </c>
      <c r="C46" s="14" t="str">
        <f t="shared" si="1"/>
        <v>Stock</v>
      </c>
      <c r="D46" s="85">
        <f>(VLOOKUP(B46,'sale resgister'!B:J,8,0))</f>
        <v>0</v>
      </c>
      <c r="E46" s="16">
        <f>VLOOKUP(B46,'sale resgister'!B:D,3,0)</f>
        <v>22</v>
      </c>
      <c r="F46" s="89">
        <f>VLOOKUP(B46,'Pivot Report 2'!A:D,2,0)</f>
        <v>0</v>
      </c>
      <c r="G46" s="89">
        <f>VLOOKUP(B46,'Pivot Report 2'!A:D,3,0)</f>
        <v>0</v>
      </c>
      <c r="H46" s="89">
        <f>VLOOKUP(B46,'Pivot Report 2'!A:D,4,0)</f>
        <v>0</v>
      </c>
      <c r="I46" s="18">
        <f>SUMIF('P&amp;L REPORT 2'!B:B,B46,'P&amp;L REPORT 2'!S:S)</f>
        <v>0</v>
      </c>
      <c r="J46" s="15" t="str">
        <f>VLOOKUP(B46,'sale resgister'!B:C,2,0)</f>
        <v>Batch 3</v>
      </c>
      <c r="K46" s="19" t="s">
        <v>33</v>
      </c>
    </row>
    <row r="47" spans="2:11" ht="16.5" customHeight="1" x14ac:dyDescent="0.4">
      <c r="B47" s="13" t="s">
        <v>46</v>
      </c>
      <c r="C47" s="14" t="str">
        <f t="shared" si="1"/>
        <v>Stock</v>
      </c>
      <c r="D47" s="85">
        <f>(VLOOKUP(B47,'sale resgister'!B:J,8,0))</f>
        <v>0</v>
      </c>
      <c r="E47" s="16">
        <f>VLOOKUP(B47,'sale resgister'!B:D,3,0)</f>
        <v>22</v>
      </c>
      <c r="F47" s="89">
        <f>VLOOKUP(B47,'Pivot Report 2'!A:D,2,0)</f>
        <v>0</v>
      </c>
      <c r="G47" s="89">
        <f>VLOOKUP(B47,'Pivot Report 2'!A:D,3,0)</f>
        <v>0</v>
      </c>
      <c r="H47" s="89">
        <f>VLOOKUP(B47,'Pivot Report 2'!A:D,4,0)</f>
        <v>0</v>
      </c>
      <c r="I47" s="18">
        <f>SUMIF('P&amp;L REPORT 2'!B:B,B47,'P&amp;L REPORT 2'!S:S)</f>
        <v>0</v>
      </c>
      <c r="J47" s="15" t="str">
        <f>VLOOKUP(B47,'sale resgister'!B:C,2,0)</f>
        <v>Batch 3</v>
      </c>
      <c r="K47" s="19" t="s">
        <v>33</v>
      </c>
    </row>
    <row r="48" spans="2:11" ht="16.5" customHeight="1" x14ac:dyDescent="0.4">
      <c r="B48" s="13" t="s">
        <v>47</v>
      </c>
      <c r="C48" s="14" t="str">
        <f t="shared" si="1"/>
        <v>Stock</v>
      </c>
      <c r="D48" s="85">
        <f>(VLOOKUP(B48,'sale resgister'!B:J,8,0))</f>
        <v>0</v>
      </c>
      <c r="E48" s="16">
        <f>VLOOKUP(B48,'sale resgister'!B:D,3,0)</f>
        <v>22</v>
      </c>
      <c r="F48" s="89">
        <f>VLOOKUP(B48,'Pivot Report 2'!A:D,2,0)</f>
        <v>0</v>
      </c>
      <c r="G48" s="89">
        <f>VLOOKUP(B48,'Pivot Report 2'!A:D,3,0)</f>
        <v>0</v>
      </c>
      <c r="H48" s="89">
        <f>VLOOKUP(B48,'Pivot Report 2'!A:D,4,0)</f>
        <v>0</v>
      </c>
      <c r="I48" s="18">
        <f>SUMIF('P&amp;L REPORT 2'!B:B,B48,'P&amp;L REPORT 2'!S:S)</f>
        <v>0</v>
      </c>
      <c r="J48" s="15" t="str">
        <f>VLOOKUP(B48,'sale resgister'!B:C,2,0)</f>
        <v>Batch 3</v>
      </c>
      <c r="K48" s="19" t="s">
        <v>33</v>
      </c>
    </row>
    <row r="49" spans="2:11" ht="16.5" customHeight="1" x14ac:dyDescent="0.4">
      <c r="B49" s="13" t="s">
        <v>48</v>
      </c>
      <c r="C49" s="14" t="str">
        <f t="shared" si="1"/>
        <v>Stock</v>
      </c>
      <c r="D49" s="85">
        <f>(VLOOKUP(B49,'sale resgister'!B:J,8,0))</f>
        <v>0</v>
      </c>
      <c r="E49" s="16">
        <f>VLOOKUP(B49,'sale resgister'!B:D,3,0)</f>
        <v>22</v>
      </c>
      <c r="F49" s="89">
        <f>VLOOKUP(B49,'Pivot Report 2'!A:D,2,0)</f>
        <v>0</v>
      </c>
      <c r="G49" s="89">
        <f>VLOOKUP(B49,'Pivot Report 2'!A:D,3,0)</f>
        <v>0</v>
      </c>
      <c r="H49" s="89">
        <f>VLOOKUP(B49,'Pivot Report 2'!A:D,4,0)</f>
        <v>0</v>
      </c>
      <c r="I49" s="18">
        <f>SUMIF('P&amp;L REPORT 2'!B:B,B49,'P&amp;L REPORT 2'!S:S)</f>
        <v>0</v>
      </c>
      <c r="J49" s="15" t="str">
        <f>VLOOKUP(B49,'sale resgister'!B:C,2,0)</f>
        <v>Batch 3</v>
      </c>
      <c r="K49" s="19" t="s">
        <v>33</v>
      </c>
    </row>
    <row r="50" spans="2:11" ht="16.5" customHeight="1" x14ac:dyDescent="0.4">
      <c r="B50" s="13" t="s">
        <v>49</v>
      </c>
      <c r="C50" s="14" t="str">
        <f t="shared" si="1"/>
        <v>Stock</v>
      </c>
      <c r="D50" s="85">
        <f>(VLOOKUP(B50,'sale resgister'!B:J,8,0))</f>
        <v>0</v>
      </c>
      <c r="E50" s="16">
        <f>VLOOKUP(B50,'sale resgister'!B:D,3,0)</f>
        <v>22</v>
      </c>
      <c r="F50" s="89">
        <f>VLOOKUP(B50,'Pivot Report 2'!A:D,2,0)</f>
        <v>0</v>
      </c>
      <c r="G50" s="89">
        <f>VLOOKUP(B50,'Pivot Report 2'!A:D,3,0)</f>
        <v>0</v>
      </c>
      <c r="H50" s="89">
        <f>VLOOKUP(B50,'Pivot Report 2'!A:D,4,0)</f>
        <v>0</v>
      </c>
      <c r="I50" s="18">
        <f>SUMIF('P&amp;L REPORT 2'!B:B,B50,'P&amp;L REPORT 2'!S:S)</f>
        <v>0</v>
      </c>
      <c r="J50" s="15" t="str">
        <f>VLOOKUP(B50,'sale resgister'!B:C,2,0)</f>
        <v>Batch 3</v>
      </c>
      <c r="K50" s="19" t="s">
        <v>33</v>
      </c>
    </row>
    <row r="51" spans="2:11" ht="16.5" customHeight="1" x14ac:dyDescent="0.4">
      <c r="B51" s="13" t="s">
        <v>50</v>
      </c>
      <c r="C51" s="14" t="str">
        <f t="shared" si="1"/>
        <v>Stock</v>
      </c>
      <c r="D51" s="85">
        <f>(VLOOKUP(B51,'sale resgister'!B:J,8,0))</f>
        <v>0</v>
      </c>
      <c r="E51" s="16">
        <f>VLOOKUP(B51,'sale resgister'!B:D,3,0)</f>
        <v>22</v>
      </c>
      <c r="F51" s="89">
        <f>VLOOKUP(B51,'Pivot Report 2'!A:D,2,0)</f>
        <v>0</v>
      </c>
      <c r="G51" s="89">
        <f>VLOOKUP(B51,'Pivot Report 2'!A:D,3,0)</f>
        <v>0</v>
      </c>
      <c r="H51" s="89">
        <f>VLOOKUP(B51,'Pivot Report 2'!A:D,4,0)</f>
        <v>0</v>
      </c>
      <c r="I51" s="18">
        <f>SUMIF('P&amp;L REPORT 2'!B:B,B51,'P&amp;L REPORT 2'!S:S)</f>
        <v>0</v>
      </c>
      <c r="J51" s="15" t="str">
        <f>VLOOKUP(B51,'sale resgister'!B:C,2,0)</f>
        <v>Batch 3</v>
      </c>
      <c r="K51" s="19" t="s">
        <v>33</v>
      </c>
    </row>
    <row r="52" spans="2:11" ht="16.5" customHeight="1" x14ac:dyDescent="0.4">
      <c r="B52" s="13" t="s">
        <v>51</v>
      </c>
      <c r="C52" s="14" t="str">
        <f t="shared" si="1"/>
        <v>Stock</v>
      </c>
      <c r="D52" s="85">
        <f>(VLOOKUP(B52,'sale resgister'!B:J,8,0))</f>
        <v>0</v>
      </c>
      <c r="E52" s="16">
        <f>VLOOKUP(B52,'sale resgister'!B:D,3,0)</f>
        <v>22</v>
      </c>
      <c r="F52" s="89">
        <f>VLOOKUP(B52,'Pivot Report 2'!A:D,2,0)</f>
        <v>0</v>
      </c>
      <c r="G52" s="89">
        <f>VLOOKUP(B52,'Pivot Report 2'!A:D,3,0)</f>
        <v>0</v>
      </c>
      <c r="H52" s="89">
        <f>VLOOKUP(B52,'Pivot Report 2'!A:D,4,0)</f>
        <v>0</v>
      </c>
      <c r="I52" s="18">
        <f>SUMIF('P&amp;L REPORT 2'!B:B,B52,'P&amp;L REPORT 2'!S:S)</f>
        <v>0</v>
      </c>
      <c r="J52" s="15" t="str">
        <f>VLOOKUP(B52,'sale resgister'!B:C,2,0)</f>
        <v>Batch 3</v>
      </c>
      <c r="K52" s="19" t="s">
        <v>33</v>
      </c>
    </row>
    <row r="53" spans="2:11" ht="16.5" customHeight="1" x14ac:dyDescent="0.4">
      <c r="B53" s="13" t="s">
        <v>52</v>
      </c>
      <c r="C53" s="14" t="str">
        <f t="shared" si="1"/>
        <v>Stock</v>
      </c>
      <c r="D53" s="85">
        <f>(VLOOKUP(B53,'sale resgister'!B:J,8,0))</f>
        <v>0</v>
      </c>
      <c r="E53" s="16">
        <f>VLOOKUP(B53,'sale resgister'!B:D,3,0)</f>
        <v>22</v>
      </c>
      <c r="F53" s="89">
        <f>VLOOKUP(B53,'Pivot Report 2'!A:D,2,0)</f>
        <v>0</v>
      </c>
      <c r="G53" s="89">
        <f>VLOOKUP(B53,'Pivot Report 2'!A:D,3,0)</f>
        <v>0</v>
      </c>
      <c r="H53" s="89">
        <f>VLOOKUP(B53,'Pivot Report 2'!A:D,4,0)</f>
        <v>0</v>
      </c>
      <c r="I53" s="18">
        <f>SUMIF('P&amp;L REPORT 2'!B:B,B53,'P&amp;L REPORT 2'!S:S)</f>
        <v>0</v>
      </c>
      <c r="J53" s="15" t="str">
        <f>VLOOKUP(B53,'sale resgister'!B:C,2,0)</f>
        <v>Batch 3</v>
      </c>
      <c r="K53" s="19" t="s">
        <v>33</v>
      </c>
    </row>
    <row r="54" spans="2:11" ht="16.5" customHeight="1" x14ac:dyDescent="0.4">
      <c r="B54" s="20" t="s">
        <v>119</v>
      </c>
      <c r="C54" s="21" t="str">
        <f t="shared" si="1"/>
        <v>Stock</v>
      </c>
      <c r="D54" s="86">
        <f>(VLOOKUP(B54,'sale resgister'!B:J,8,0))</f>
        <v>0</v>
      </c>
      <c r="E54" s="23">
        <f>VLOOKUP(B54,'sale resgister'!B:D,3,0)</f>
        <v>22</v>
      </c>
      <c r="F54" s="90">
        <f>VLOOKUP(B54,'Pivot Report 2'!A:D,2,0)</f>
        <v>30.87</v>
      </c>
      <c r="G54" s="90">
        <f>VLOOKUP(B54,'Pivot Report 2'!A:D,3,0)</f>
        <v>104.97</v>
      </c>
      <c r="H54" s="90">
        <f>VLOOKUP(B54,'Pivot Report 2'!A:D,4,0)</f>
        <v>69.98</v>
      </c>
      <c r="I54" s="24">
        <f>SUMIF('P&amp;L REPORT 2'!B:B,B54,'P&amp;L REPORT 2'!S:S)</f>
        <v>6.0000000000000001E-3</v>
      </c>
      <c r="J54" s="22" t="str">
        <f>VLOOKUP(B54,'sale resgister'!B:C,2,0)</f>
        <v>Batch 1</v>
      </c>
      <c r="K54" s="25" t="s">
        <v>40</v>
      </c>
    </row>
    <row r="55" spans="2:11" ht="16.5" customHeight="1" x14ac:dyDescent="0.4">
      <c r="B55" s="13" t="s">
        <v>53</v>
      </c>
      <c r="C55" s="14" t="str">
        <f t="shared" si="1"/>
        <v>Stock</v>
      </c>
      <c r="D55" s="85">
        <f>(VLOOKUP(B55,'sale resgister'!B:J,8,0))</f>
        <v>0</v>
      </c>
      <c r="E55" s="16">
        <f>VLOOKUP(B55,'sale resgister'!B:D,3,0)</f>
        <v>22</v>
      </c>
      <c r="F55" s="89">
        <f>VLOOKUP(B55,'Pivot Report 2'!A:D,2,0)</f>
        <v>0</v>
      </c>
      <c r="G55" s="89">
        <f>VLOOKUP(B55,'Pivot Report 2'!A:D,3,0)</f>
        <v>0</v>
      </c>
      <c r="H55" s="89">
        <f>VLOOKUP(B55,'Pivot Report 2'!A:D,4,0)</f>
        <v>0</v>
      </c>
      <c r="I55" s="18">
        <f>SUMIF('P&amp;L REPORT 2'!B:B,B55,'P&amp;L REPORT 2'!S:S)</f>
        <v>0</v>
      </c>
      <c r="J55" s="15" t="str">
        <f>VLOOKUP(B55,'sale resgister'!B:C,2,0)</f>
        <v>Batch 3</v>
      </c>
      <c r="K55" s="19" t="s">
        <v>33</v>
      </c>
    </row>
    <row r="56" spans="2:11" ht="16.5" customHeight="1" x14ac:dyDescent="0.4">
      <c r="B56" s="20" t="s">
        <v>54</v>
      </c>
      <c r="C56" s="21" t="str">
        <f t="shared" si="1"/>
        <v>Stock</v>
      </c>
      <c r="D56" s="86">
        <f>(VLOOKUP(B56,'sale resgister'!B:J,8,0))</f>
        <v>0</v>
      </c>
      <c r="E56" s="23">
        <f>VLOOKUP(B56,'sale resgister'!B:D,3,0)</f>
        <v>22</v>
      </c>
      <c r="F56" s="90">
        <f>VLOOKUP(B56,'Pivot Report 2'!A:D,2,0)</f>
        <v>844.70999999999992</v>
      </c>
      <c r="G56" s="90">
        <f>VLOOKUP(B56,'Pivot Report 2'!A:D,3,0)</f>
        <v>2872.04</v>
      </c>
      <c r="H56" s="90">
        <f>VLOOKUP(B56,'Pivot Report 2'!A:D,4,0)</f>
        <v>1914.6999999999998</v>
      </c>
      <c r="I56" s="24">
        <f>SUMIF('P&amp;L REPORT 2'!B:B,B56,'P&amp;L REPORT 2'!S:S)</f>
        <v>0.16899999999999998</v>
      </c>
      <c r="J56" s="22" t="str">
        <f>VLOOKUP(B56,'sale resgister'!B:C,2,0)</f>
        <v>Batch 3</v>
      </c>
      <c r="K56" s="25" t="s">
        <v>40</v>
      </c>
    </row>
    <row r="57" spans="2:11" ht="16.5" customHeight="1" x14ac:dyDescent="0.4">
      <c r="B57" s="13" t="s">
        <v>55</v>
      </c>
      <c r="C57" s="14" t="str">
        <f t="shared" si="1"/>
        <v>Stock</v>
      </c>
      <c r="D57" s="85">
        <f>(VLOOKUP(B57,'sale resgister'!B:J,8,0))</f>
        <v>0</v>
      </c>
      <c r="E57" s="16">
        <f>VLOOKUP(B57,'sale resgister'!B:D,3,0)</f>
        <v>22</v>
      </c>
      <c r="F57" s="89">
        <f>VLOOKUP(B57,'Pivot Report 2'!A:D,2,0)</f>
        <v>0</v>
      </c>
      <c r="G57" s="89">
        <f>VLOOKUP(B57,'Pivot Report 2'!A:D,3,0)</f>
        <v>0</v>
      </c>
      <c r="H57" s="89">
        <f>VLOOKUP(B57,'Pivot Report 2'!A:D,4,0)</f>
        <v>0</v>
      </c>
      <c r="I57" s="18">
        <f>SUMIF('P&amp;L REPORT 2'!B:B,B57,'P&amp;L REPORT 2'!S:S)</f>
        <v>0</v>
      </c>
      <c r="J57" s="15" t="str">
        <f>VLOOKUP(B57,'sale resgister'!B:C,2,0)</f>
        <v>Batch 3</v>
      </c>
      <c r="K57" s="19" t="s">
        <v>33</v>
      </c>
    </row>
    <row r="58" spans="2:11" ht="16.5" customHeight="1" x14ac:dyDescent="0.4">
      <c r="B58" s="20" t="s">
        <v>56</v>
      </c>
      <c r="C58" s="21" t="str">
        <f t="shared" si="1"/>
        <v>Stock</v>
      </c>
      <c r="D58" s="86">
        <f>(VLOOKUP(B58,'sale resgister'!B:J,8,0))</f>
        <v>0</v>
      </c>
      <c r="E58" s="23">
        <f>VLOOKUP(B58,'sale resgister'!B:D,3,0)</f>
        <v>22</v>
      </c>
      <c r="F58" s="90">
        <f>VLOOKUP(B58,'Pivot Report 2'!A:D,2,0)</f>
        <v>868.99</v>
      </c>
      <c r="G58" s="90">
        <f>VLOOKUP(B58,'Pivot Report 2'!A:D,3,0)</f>
        <v>2954.57</v>
      </c>
      <c r="H58" s="90">
        <f>VLOOKUP(B58,'Pivot Report 2'!A:D,4,0)</f>
        <v>1969.7199999999998</v>
      </c>
      <c r="I58" s="24">
        <f>SUMIF('P&amp;L REPORT 2'!B:B,B58,'P&amp;L REPORT 2'!S:S)</f>
        <v>0.16800000000000001</v>
      </c>
      <c r="J58" s="22" t="str">
        <f>VLOOKUP(B58,'sale resgister'!B:C,2,0)</f>
        <v>Batch 3</v>
      </c>
      <c r="K58" s="25" t="s">
        <v>40</v>
      </c>
    </row>
    <row r="59" spans="2:11" ht="16.5" customHeight="1" x14ac:dyDescent="0.4">
      <c r="B59" s="20" t="s">
        <v>57</v>
      </c>
      <c r="C59" s="21" t="str">
        <f t="shared" si="1"/>
        <v>Stock</v>
      </c>
      <c r="D59" s="86">
        <f>(VLOOKUP(B59,'sale resgister'!B:J,8,0))</f>
        <v>0</v>
      </c>
      <c r="E59" s="23">
        <f>VLOOKUP(B59,'sale resgister'!B:D,3,0)</f>
        <v>22</v>
      </c>
      <c r="F59" s="90">
        <f>VLOOKUP(B59,'Pivot Report 2'!A:D,2,0)</f>
        <v>797.61999999999989</v>
      </c>
      <c r="G59" s="90">
        <f>VLOOKUP(B59,'Pivot Report 2'!A:D,3,0)</f>
        <v>2711.89</v>
      </c>
      <c r="H59" s="90">
        <f>VLOOKUP(B59,'Pivot Report 2'!A:D,4,0)</f>
        <v>1807.93</v>
      </c>
      <c r="I59" s="24">
        <f>SUMIF('P&amp;L REPORT 2'!B:B,B59,'P&amp;L REPORT 2'!S:S)</f>
        <v>0.154</v>
      </c>
      <c r="J59" s="22" t="str">
        <f>VLOOKUP(B59,'sale resgister'!B:C,2,0)</f>
        <v>Batch 3</v>
      </c>
      <c r="K59" s="25" t="s">
        <v>40</v>
      </c>
    </row>
    <row r="60" spans="2:11" ht="16.5" customHeight="1" x14ac:dyDescent="0.4">
      <c r="B60" s="13" t="s">
        <v>58</v>
      </c>
      <c r="C60" s="14" t="str">
        <f t="shared" si="1"/>
        <v>Stock</v>
      </c>
      <c r="D60" s="85">
        <f>(VLOOKUP(B60,'sale resgister'!B:J,8,0))</f>
        <v>0</v>
      </c>
      <c r="E60" s="16">
        <f>VLOOKUP(B60,'sale resgister'!B:D,3,0)</f>
        <v>22</v>
      </c>
      <c r="F60" s="89">
        <f>VLOOKUP(B60,'Pivot Report 2'!A:D,2,0)</f>
        <v>0</v>
      </c>
      <c r="G60" s="89">
        <f>VLOOKUP(B60,'Pivot Report 2'!A:D,3,0)</f>
        <v>0</v>
      </c>
      <c r="H60" s="89">
        <f>VLOOKUP(B60,'Pivot Report 2'!A:D,4,0)</f>
        <v>0</v>
      </c>
      <c r="I60" s="18">
        <f>SUMIF('P&amp;L REPORT 2'!B:B,B60,'P&amp;L REPORT 2'!S:S)</f>
        <v>0</v>
      </c>
      <c r="J60" s="15" t="str">
        <f>VLOOKUP(B60,'sale resgister'!B:C,2,0)</f>
        <v>Batch 3</v>
      </c>
      <c r="K60" s="19" t="s">
        <v>33</v>
      </c>
    </row>
    <row r="61" spans="2:11" ht="16.5" customHeight="1" x14ac:dyDescent="0.4">
      <c r="B61" s="13" t="s">
        <v>59</v>
      </c>
      <c r="C61" s="14" t="str">
        <f t="shared" si="1"/>
        <v>Stock</v>
      </c>
      <c r="D61" s="85">
        <f>(VLOOKUP(B61,'sale resgister'!B:J,8,0))</f>
        <v>0</v>
      </c>
      <c r="E61" s="16">
        <f>VLOOKUP(B61,'sale resgister'!B:D,3,0)</f>
        <v>22</v>
      </c>
      <c r="F61" s="89">
        <f>VLOOKUP(B61,'Pivot Report 2'!A:D,2,0)</f>
        <v>0</v>
      </c>
      <c r="G61" s="89">
        <f>VLOOKUP(B61,'Pivot Report 2'!A:D,3,0)</f>
        <v>0</v>
      </c>
      <c r="H61" s="89">
        <f>VLOOKUP(B61,'Pivot Report 2'!A:D,4,0)</f>
        <v>0</v>
      </c>
      <c r="I61" s="18">
        <f>SUMIF('P&amp;L REPORT 2'!B:B,B61,'P&amp;L REPORT 2'!S:S)</f>
        <v>0</v>
      </c>
      <c r="J61" s="15" t="str">
        <f>VLOOKUP(B61,'sale resgister'!B:C,2,0)</f>
        <v>Batch 3</v>
      </c>
      <c r="K61" s="19" t="s">
        <v>33</v>
      </c>
    </row>
    <row r="62" spans="2:11" ht="16.5" customHeight="1" x14ac:dyDescent="0.4">
      <c r="B62" s="13" t="s">
        <v>60</v>
      </c>
      <c r="C62" s="14" t="str">
        <f t="shared" si="1"/>
        <v>Stock</v>
      </c>
      <c r="D62" s="85">
        <f>(VLOOKUP(B62,'sale resgister'!B:J,8,0))</f>
        <v>0</v>
      </c>
      <c r="E62" s="16">
        <f>VLOOKUP(B62,'sale resgister'!B:D,3,0)</f>
        <v>22</v>
      </c>
      <c r="F62" s="89">
        <f>VLOOKUP(B62,'Pivot Report 2'!A:D,2,0)</f>
        <v>0</v>
      </c>
      <c r="G62" s="89">
        <f>VLOOKUP(B62,'Pivot Report 2'!A:D,3,0)</f>
        <v>0</v>
      </c>
      <c r="H62" s="89">
        <f>VLOOKUP(B62,'Pivot Report 2'!A:D,4,0)</f>
        <v>0</v>
      </c>
      <c r="I62" s="18">
        <f>SUMIF('P&amp;L REPORT 2'!B:B,B62,'P&amp;L REPORT 2'!S:S)</f>
        <v>0</v>
      </c>
      <c r="J62" s="15" t="str">
        <f>VLOOKUP(B62,'sale resgister'!B:C,2,0)</f>
        <v>Batch 3</v>
      </c>
      <c r="K62" s="19" t="s">
        <v>33</v>
      </c>
    </row>
    <row r="63" spans="2:11" ht="16.5" customHeight="1" x14ac:dyDescent="0.4">
      <c r="B63" s="13" t="s">
        <v>120</v>
      </c>
      <c r="C63" s="14" t="str">
        <f t="shared" si="1"/>
        <v>Stock</v>
      </c>
      <c r="D63" s="85">
        <f>(VLOOKUP(B63,'sale resgister'!B:J,8,0))</f>
        <v>0</v>
      </c>
      <c r="E63" s="16">
        <f>VLOOKUP(B63,'sale resgister'!B:D,3,0)</f>
        <v>24</v>
      </c>
      <c r="F63" s="89">
        <f>VLOOKUP(B63,'Pivot Report 2'!A:D,2,0)</f>
        <v>0</v>
      </c>
      <c r="G63" s="89">
        <f>VLOOKUP(B63,'Pivot Report 2'!A:D,3,0)</f>
        <v>0</v>
      </c>
      <c r="H63" s="89">
        <f>VLOOKUP(B63,'Pivot Report 2'!A:D,4,0)</f>
        <v>0</v>
      </c>
      <c r="I63" s="18">
        <f>SUMIF('P&amp;L REPORT 2'!B:B,B63,'P&amp;L REPORT 2'!S:S)</f>
        <v>0</v>
      </c>
      <c r="J63" s="15" t="str">
        <f>VLOOKUP(B63,'sale resgister'!B:C,2,0)</f>
        <v>Batch 1</v>
      </c>
      <c r="K63" s="19" t="s">
        <v>33</v>
      </c>
    </row>
    <row r="64" spans="2:11" ht="16.5" customHeight="1" x14ac:dyDescent="0.4">
      <c r="B64" s="20" t="s">
        <v>61</v>
      </c>
      <c r="C64" s="21" t="str">
        <f t="shared" si="1"/>
        <v>Stock</v>
      </c>
      <c r="D64" s="86">
        <f>(VLOOKUP(B64,'sale resgister'!B:J,8,0))</f>
        <v>0</v>
      </c>
      <c r="E64" s="23">
        <f>VLOOKUP(B64,'sale resgister'!B:D,3,0)</f>
        <v>22</v>
      </c>
      <c r="F64" s="90">
        <f>VLOOKUP(B64,'Pivot Report 2'!A:D,2,0)</f>
        <v>1760.32</v>
      </c>
      <c r="G64" s="90">
        <f>VLOOKUP(B64,'Pivot Report 2'!A:D,3,0)</f>
        <v>5985.1099999999988</v>
      </c>
      <c r="H64" s="90">
        <f>VLOOKUP(B64,'Pivot Report 2'!A:D,4,0)</f>
        <v>3990.08</v>
      </c>
      <c r="I64" s="24">
        <f>SUMIF('P&amp;L REPORT 2'!B:B,B64,'P&amp;L REPORT 2'!S:S)</f>
        <v>0.39899999999999997</v>
      </c>
      <c r="J64" s="22" t="str">
        <f>VLOOKUP(B64,'sale resgister'!B:C,2,0)</f>
        <v>Batch 1</v>
      </c>
      <c r="K64" s="25" t="s">
        <v>40</v>
      </c>
    </row>
    <row r="65" spans="2:11" ht="16.5" customHeight="1" x14ac:dyDescent="0.4">
      <c r="B65" s="87" t="s">
        <v>121</v>
      </c>
      <c r="C65" s="14" t="str">
        <f t="shared" si="1"/>
        <v>Stock</v>
      </c>
      <c r="D65" s="85">
        <f>(VLOOKUP(B65,'sale resgister'!B:J,8,0))</f>
        <v>0</v>
      </c>
      <c r="E65" s="16">
        <f>VLOOKUP(B65,'sale resgister'!B:D,3,0)</f>
        <v>0</v>
      </c>
      <c r="F65" s="89">
        <f>VLOOKUP(B65,'Pivot Report 2'!A:D,2,0)</f>
        <v>0</v>
      </c>
      <c r="G65" s="89">
        <f>VLOOKUP(B65,'Pivot Report 2'!A:D,3,0)</f>
        <v>0</v>
      </c>
      <c r="H65" s="89">
        <f>VLOOKUP(B65,'Pivot Report 2'!A:D,4,0)</f>
        <v>0</v>
      </c>
      <c r="I65" s="18">
        <f>SUMIF('P&amp;L REPORT 2'!B:B,B65,'P&amp;L REPORT 2'!S:S)</f>
        <v>0</v>
      </c>
      <c r="J65" s="15" t="str">
        <f>VLOOKUP(B65,'sale resgister'!B:C,2,0)</f>
        <v>Batch 1</v>
      </c>
      <c r="K65" s="19" t="s">
        <v>33</v>
      </c>
    </row>
    <row r="66" spans="2:11" ht="16.5" customHeight="1" x14ac:dyDescent="0.4">
      <c r="B66" s="13" t="s">
        <v>62</v>
      </c>
      <c r="C66" s="14" t="str">
        <f t="shared" si="1"/>
        <v>Stock</v>
      </c>
      <c r="D66" s="85">
        <f>(VLOOKUP(B66,'sale resgister'!B:J,8,0))</f>
        <v>0</v>
      </c>
      <c r="E66" s="16">
        <f>VLOOKUP(B66,'sale resgister'!B:D,3,0)</f>
        <v>22</v>
      </c>
      <c r="F66" s="89">
        <f>VLOOKUP(B66,'Pivot Report 2'!A:D,2,0)</f>
        <v>0</v>
      </c>
      <c r="G66" s="89">
        <f>VLOOKUP(B66,'Pivot Report 2'!A:D,3,0)</f>
        <v>0</v>
      </c>
      <c r="H66" s="89">
        <f>VLOOKUP(B66,'Pivot Report 2'!A:D,4,0)</f>
        <v>0</v>
      </c>
      <c r="I66" s="18">
        <f>SUMIF('P&amp;L REPORT 2'!B:B,B66,'P&amp;L REPORT 2'!S:S)</f>
        <v>0</v>
      </c>
      <c r="J66" s="15" t="str">
        <f>VLOOKUP(B66,'sale resgister'!B:C,2,0)</f>
        <v>Batch 3</v>
      </c>
      <c r="K66" s="19" t="s">
        <v>33</v>
      </c>
    </row>
    <row r="67" spans="2:11" ht="16.5" customHeight="1" x14ac:dyDescent="0.4">
      <c r="B67" s="20" t="s">
        <v>63</v>
      </c>
      <c r="C67" s="21" t="str">
        <f t="shared" si="1"/>
        <v>Stock</v>
      </c>
      <c r="D67" s="86">
        <f>(VLOOKUP(B67,'sale resgister'!B:J,8,0))</f>
        <v>0</v>
      </c>
      <c r="E67" s="23">
        <f>VLOOKUP(B67,'sale resgister'!B:D,3,0)</f>
        <v>22</v>
      </c>
      <c r="F67" s="90">
        <f>VLOOKUP(B67,'Pivot Report 2'!A:D,2,0)</f>
        <v>51.67</v>
      </c>
      <c r="G67" s="90">
        <f>VLOOKUP(B67,'Pivot Report 2'!A:D,3,0)</f>
        <v>175.69</v>
      </c>
      <c r="H67" s="90">
        <f>VLOOKUP(B67,'Pivot Report 2'!A:D,4,0)</f>
        <v>117.13</v>
      </c>
      <c r="I67" s="24">
        <f>SUMIF('P&amp;L REPORT 2'!B:B,B67,'P&amp;L REPORT 2'!S:S)</f>
        <v>9.0000000000000011E-3</v>
      </c>
      <c r="J67" s="22" t="str">
        <f>VLOOKUP(B67,'sale resgister'!B:C,2,0)</f>
        <v>Batch 3</v>
      </c>
      <c r="K67" s="25" t="s">
        <v>40</v>
      </c>
    </row>
    <row r="68" spans="2:11" ht="16.5" customHeight="1" x14ac:dyDescent="0.4">
      <c r="B68" s="13" t="s">
        <v>64</v>
      </c>
      <c r="C68" s="14" t="str">
        <f t="shared" si="1"/>
        <v>Stock</v>
      </c>
      <c r="D68" s="85">
        <f>(VLOOKUP(B68,'sale resgister'!B:J,8,0))</f>
        <v>0</v>
      </c>
      <c r="E68" s="16">
        <f>VLOOKUP(B68,'sale resgister'!B:D,3,0)</f>
        <v>21</v>
      </c>
      <c r="F68" s="89">
        <f>VLOOKUP(B68,'Pivot Report 2'!A:D,2,0)</f>
        <v>0</v>
      </c>
      <c r="G68" s="89">
        <f>VLOOKUP(B68,'Pivot Report 2'!A:D,3,0)</f>
        <v>0</v>
      </c>
      <c r="H68" s="89">
        <f>VLOOKUP(B68,'Pivot Report 2'!A:D,4,0)</f>
        <v>0</v>
      </c>
      <c r="I68" s="18">
        <f>SUMIF('P&amp;L REPORT 2'!B:B,B68,'P&amp;L REPORT 2'!S:S)</f>
        <v>0</v>
      </c>
      <c r="J68" s="15" t="str">
        <f>VLOOKUP(B68,'sale resgister'!B:C,2,0)</f>
        <v>Batch 3</v>
      </c>
      <c r="K68" s="19" t="s">
        <v>33</v>
      </c>
    </row>
    <row r="69" spans="2:11" ht="16.5" customHeight="1" x14ac:dyDescent="0.4">
      <c r="B69" s="20" t="s">
        <v>65</v>
      </c>
      <c r="C69" s="21" t="str">
        <f t="shared" si="1"/>
        <v>Stock</v>
      </c>
      <c r="D69" s="86">
        <f>(VLOOKUP(B69,'sale resgister'!B:J,8,0))</f>
        <v>0</v>
      </c>
      <c r="E69" s="23">
        <f>VLOOKUP(B69,'sale resgister'!B:D,3,0)</f>
        <v>21</v>
      </c>
      <c r="F69" s="90">
        <f>VLOOKUP(B69,'Pivot Report 2'!A:D,2,0)</f>
        <v>40.379999999999995</v>
      </c>
      <c r="G69" s="90">
        <f>VLOOKUP(B69,'Pivot Report 2'!A:D,3,0)</f>
        <v>137.27000000000001</v>
      </c>
      <c r="H69" s="90">
        <f>VLOOKUP(B69,'Pivot Report 2'!A:D,4,0)</f>
        <v>91.51</v>
      </c>
      <c r="I69" s="24">
        <f>SUMIF('P&amp;L REPORT 2'!B:B,B69,'P&amp;L REPORT 2'!S:S)</f>
        <v>0.01</v>
      </c>
      <c r="J69" s="22" t="str">
        <f>VLOOKUP(B69,'sale resgister'!B:C,2,0)</f>
        <v>Batch 3</v>
      </c>
      <c r="K69" s="25" t="s">
        <v>40</v>
      </c>
    </row>
    <row r="70" spans="2:11" ht="16.5" customHeight="1" x14ac:dyDescent="0.4">
      <c r="B70" s="13" t="s">
        <v>66</v>
      </c>
      <c r="C70" s="14" t="str">
        <f t="shared" si="1"/>
        <v>Stock</v>
      </c>
      <c r="D70" s="85">
        <f>(VLOOKUP(B70,'sale resgister'!B:J,8,0))</f>
        <v>0</v>
      </c>
      <c r="E70" s="16">
        <f>VLOOKUP(B70,'sale resgister'!B:D,3,0)</f>
        <v>22</v>
      </c>
      <c r="F70" s="89">
        <f>VLOOKUP(B70,'Pivot Report 2'!A:D,2,0)</f>
        <v>0</v>
      </c>
      <c r="G70" s="89">
        <f>VLOOKUP(B70,'Pivot Report 2'!A:D,3,0)</f>
        <v>0</v>
      </c>
      <c r="H70" s="89">
        <f>VLOOKUP(B70,'Pivot Report 2'!A:D,4,0)</f>
        <v>0</v>
      </c>
      <c r="I70" s="18">
        <f>SUMIF('P&amp;L REPORT 2'!B:B,B70,'P&amp;L REPORT 2'!S:S)</f>
        <v>0</v>
      </c>
      <c r="J70" s="15" t="str">
        <f>VLOOKUP(B70,'sale resgister'!B:C,2,0)</f>
        <v>Batch 3</v>
      </c>
      <c r="K70" s="19" t="s">
        <v>33</v>
      </c>
    </row>
    <row r="71" spans="2:11" ht="16.5" customHeight="1" x14ac:dyDescent="0.4">
      <c r="B71" s="20" t="s">
        <v>67</v>
      </c>
      <c r="C71" s="21" t="str">
        <f t="shared" si="1"/>
        <v>Stock</v>
      </c>
      <c r="D71" s="86">
        <f>(VLOOKUP(B71,'sale resgister'!B:J,8,0))</f>
        <v>0</v>
      </c>
      <c r="E71" s="23">
        <f>VLOOKUP(B71,'sale resgister'!B:D,3,0)</f>
        <v>22</v>
      </c>
      <c r="F71" s="90">
        <f>VLOOKUP(B71,'Pivot Report 2'!A:D,2,0)</f>
        <v>0</v>
      </c>
      <c r="G71" s="90">
        <f>VLOOKUP(B71,'Pivot Report 2'!A:D,3,0)</f>
        <v>0</v>
      </c>
      <c r="H71" s="90">
        <f>VLOOKUP(B71,'Pivot Report 2'!A:D,4,0)</f>
        <v>0</v>
      </c>
      <c r="I71" s="24">
        <f>SUMIF('P&amp;L REPORT 2'!B:B,B71,'P&amp;L REPORT 2'!S:S)</f>
        <v>0</v>
      </c>
      <c r="J71" s="22" t="str">
        <f>VLOOKUP(B71,'sale resgister'!B:C,2,0)</f>
        <v>Batch 3</v>
      </c>
      <c r="K71" s="25" t="s">
        <v>40</v>
      </c>
    </row>
    <row r="72" spans="2:11" ht="16.5" customHeight="1" x14ac:dyDescent="0.4">
      <c r="B72" s="20" t="s">
        <v>68</v>
      </c>
      <c r="C72" s="21" t="str">
        <f t="shared" si="1"/>
        <v>Stock</v>
      </c>
      <c r="D72" s="86">
        <f>(VLOOKUP(B72,'sale resgister'!B:J,8,0))</f>
        <v>0</v>
      </c>
      <c r="E72" s="23">
        <f>VLOOKUP(B72,'sale resgister'!B:D,3,0)</f>
        <v>22</v>
      </c>
      <c r="F72" s="90">
        <f>VLOOKUP(B72,'Pivot Report 2'!A:D,2,0)</f>
        <v>331.98</v>
      </c>
      <c r="G72" s="90">
        <f>VLOOKUP(B72,'Pivot Report 2'!A:D,3,0)</f>
        <v>1128.78</v>
      </c>
      <c r="H72" s="90">
        <f>VLOOKUP(B72,'Pivot Report 2'!A:D,4,0)</f>
        <v>752.53</v>
      </c>
      <c r="I72" s="24">
        <f>SUMIF('P&amp;L REPORT 2'!B:B,B72,'P&amp;L REPORT 2'!S:S)</f>
        <v>7.1999999999999995E-2</v>
      </c>
      <c r="J72" s="22" t="str">
        <f>VLOOKUP(B72,'sale resgister'!B:C,2,0)</f>
        <v>Batch 3</v>
      </c>
      <c r="K72" s="25" t="s">
        <v>40</v>
      </c>
    </row>
    <row r="73" spans="2:11" ht="16.5" customHeight="1" x14ac:dyDescent="0.4">
      <c r="B73" s="20" t="s">
        <v>69</v>
      </c>
      <c r="C73" s="21" t="str">
        <f t="shared" si="1"/>
        <v>Stock</v>
      </c>
      <c r="D73" s="86">
        <f>(VLOOKUP(B73,'sale resgister'!B:J,8,0))</f>
        <v>0</v>
      </c>
      <c r="E73" s="23">
        <f>VLOOKUP(B73,'sale resgister'!B:D,3,0)</f>
        <v>22</v>
      </c>
      <c r="F73" s="90">
        <f>VLOOKUP(B73,'Pivot Report 2'!A:D,2,0)</f>
        <v>138.16</v>
      </c>
      <c r="G73" s="90">
        <f>VLOOKUP(B73,'Pivot Report 2'!A:D,3,0)</f>
        <v>469.72</v>
      </c>
      <c r="H73" s="90">
        <f>VLOOKUP(B73,'Pivot Report 2'!A:D,4,0)</f>
        <v>313.14</v>
      </c>
      <c r="I73" s="24">
        <f>SUMIF('P&amp;L REPORT 2'!B:B,B73,'P&amp;L REPORT 2'!S:S)</f>
        <v>0.03</v>
      </c>
      <c r="J73" s="22" t="str">
        <f>VLOOKUP(B73,'sale resgister'!B:C,2,0)</f>
        <v>Batch 3</v>
      </c>
      <c r="K73" s="25" t="s">
        <v>40</v>
      </c>
    </row>
    <row r="74" spans="2:11" ht="16.5" customHeight="1" x14ac:dyDescent="0.4">
      <c r="B74" s="20" t="s">
        <v>70</v>
      </c>
      <c r="C74" s="21" t="str">
        <f t="shared" si="1"/>
        <v>Stock</v>
      </c>
      <c r="D74" s="86">
        <f>(VLOOKUP(B74,'sale resgister'!B:J,8,0))</f>
        <v>0</v>
      </c>
      <c r="E74" s="23">
        <f>VLOOKUP(B74,'sale resgister'!B:D,3,0)</f>
        <v>22</v>
      </c>
      <c r="F74" s="90">
        <f>VLOOKUP(B74,'Pivot Report 2'!A:D,2,0)</f>
        <v>145.48999999999998</v>
      </c>
      <c r="G74" s="90">
        <f>VLOOKUP(B74,'Pivot Report 2'!A:D,3,0)</f>
        <v>494.65999999999997</v>
      </c>
      <c r="H74" s="90">
        <f>VLOOKUP(B74,'Pivot Report 2'!A:D,4,0)</f>
        <v>329.78</v>
      </c>
      <c r="I74" s="24">
        <f>SUMIF('P&amp;L REPORT 2'!B:B,B74,'P&amp;L REPORT 2'!S:S)</f>
        <v>2.8000000000000001E-2</v>
      </c>
      <c r="J74" s="22" t="str">
        <f>VLOOKUP(B74,'sale resgister'!B:C,2,0)</f>
        <v>Batch 3</v>
      </c>
      <c r="K74" s="25" t="s">
        <v>40</v>
      </c>
    </row>
    <row r="75" spans="2:11" ht="16.5" customHeight="1" x14ac:dyDescent="0.4">
      <c r="B75" s="20" t="s">
        <v>71</v>
      </c>
      <c r="C75" s="21" t="str">
        <f t="shared" si="1"/>
        <v>Stock</v>
      </c>
      <c r="D75" s="86">
        <f>(VLOOKUP(B75,'sale resgister'!B:J,8,0))</f>
        <v>0</v>
      </c>
      <c r="E75" s="23">
        <f>VLOOKUP(B75,'sale resgister'!B:D,3,0)</f>
        <v>22</v>
      </c>
      <c r="F75" s="90">
        <f>VLOOKUP(B75,'Pivot Report 2'!A:D,2,0)</f>
        <v>133.64000000000001</v>
      </c>
      <c r="G75" s="90">
        <f>VLOOKUP(B75,'Pivot Report 2'!A:D,3,0)</f>
        <v>454.39</v>
      </c>
      <c r="H75" s="90">
        <f>VLOOKUP(B75,'Pivot Report 2'!A:D,4,0)</f>
        <v>302.92999999999995</v>
      </c>
      <c r="I75" s="24">
        <f>SUMIF('P&amp;L REPORT 2'!B:B,B75,'P&amp;L REPORT 2'!S:S)</f>
        <v>0.03</v>
      </c>
      <c r="J75" s="22" t="str">
        <f>VLOOKUP(B75,'sale resgister'!B:C,2,0)</f>
        <v>Batch 3</v>
      </c>
      <c r="K75" s="25" t="s">
        <v>40</v>
      </c>
    </row>
    <row r="76" spans="2:11" ht="16.5" customHeight="1" x14ac:dyDescent="0.4">
      <c r="B76" s="13" t="s">
        <v>72</v>
      </c>
      <c r="C76" s="14" t="str">
        <f t="shared" si="1"/>
        <v>Stock</v>
      </c>
      <c r="D76" s="85">
        <f>(VLOOKUP(B76,'sale resgister'!B:J,8,0))</f>
        <v>0</v>
      </c>
      <c r="E76" s="16">
        <f>VLOOKUP(B76,'sale resgister'!B:D,3,0)</f>
        <v>20</v>
      </c>
      <c r="F76" s="89">
        <f>VLOOKUP(B76,'Pivot Report 2'!A:D,2,0)</f>
        <v>0</v>
      </c>
      <c r="G76" s="89">
        <f>VLOOKUP(B76,'Pivot Report 2'!A:D,3,0)</f>
        <v>0</v>
      </c>
      <c r="H76" s="89">
        <f>VLOOKUP(B76,'Pivot Report 2'!A:D,4,0)</f>
        <v>0</v>
      </c>
      <c r="I76" s="18">
        <f>SUMIF('P&amp;L REPORT 2'!B:B,B76,'P&amp;L REPORT 2'!S:S)</f>
        <v>0</v>
      </c>
      <c r="J76" s="15" t="str">
        <f>VLOOKUP(B76,'sale resgister'!B:C,2,0)</f>
        <v>Batch 3</v>
      </c>
      <c r="K76" s="19" t="s">
        <v>33</v>
      </c>
    </row>
    <row r="77" spans="2:11" ht="16.5" customHeight="1" x14ac:dyDescent="0.4">
      <c r="B77" s="20" t="s">
        <v>73</v>
      </c>
      <c r="C77" s="21" t="str">
        <f t="shared" si="1"/>
        <v>Stock</v>
      </c>
      <c r="D77" s="86">
        <f>(VLOOKUP(B77,'sale resgister'!B:J,8,0))</f>
        <v>0</v>
      </c>
      <c r="E77" s="23">
        <f>VLOOKUP(B77,'sale resgister'!B:D,3,0)</f>
        <v>18</v>
      </c>
      <c r="F77" s="90">
        <f>VLOOKUP(B77,'Pivot Report 2'!A:D,2,0)</f>
        <v>38.82</v>
      </c>
      <c r="G77" s="90">
        <f>VLOOKUP(B77,'Pivot Report 2'!A:D,3,0)</f>
        <v>132</v>
      </c>
      <c r="H77" s="90">
        <f>VLOOKUP(B77,'Pivot Report 2'!A:D,4,0)</f>
        <v>88</v>
      </c>
      <c r="I77" s="24">
        <f>SUMIF('P&amp;L REPORT 2'!B:B,B77,'P&amp;L REPORT 2'!S:S)</f>
        <v>9.0000000000000011E-3</v>
      </c>
      <c r="J77" s="22" t="str">
        <f>VLOOKUP(B77,'sale resgister'!B:C,2,0)</f>
        <v>Batch 3</v>
      </c>
      <c r="K77" s="25" t="s">
        <v>40</v>
      </c>
    </row>
    <row r="78" spans="2:11" ht="19.5" customHeight="1" x14ac:dyDescent="0.4">
      <c r="B78" s="12" t="s">
        <v>21</v>
      </c>
      <c r="C78" s="12"/>
      <c r="D78" s="12"/>
      <c r="E78" s="12"/>
      <c r="F78" s="91">
        <f>SUM(F34:F77)</f>
        <v>12994.709999999997</v>
      </c>
      <c r="G78" s="91">
        <f t="shared" ref="G78:H78" si="2">SUM(G34:G77)</f>
        <v>44182.19</v>
      </c>
      <c r="H78" s="91">
        <f t="shared" si="2"/>
        <v>29454.85</v>
      </c>
      <c r="I78" s="92"/>
      <c r="J78" s="12"/>
      <c r="K78" s="12"/>
    </row>
    <row r="79" spans="2:11" ht="18" customHeight="1" x14ac:dyDescent="0.4"/>
    <row r="80" spans="2:11" ht="15.75" customHeight="1" x14ac:dyDescent="0.4">
      <c r="B80" s="106" t="s">
        <v>74</v>
      </c>
      <c r="C80" s="106"/>
      <c r="D80" s="106"/>
      <c r="E80" s="106"/>
      <c r="F80" s="106"/>
      <c r="G80" s="106"/>
      <c r="H80" s="106"/>
      <c r="I80" s="106"/>
      <c r="J80" s="106"/>
      <c r="K80" s="106"/>
    </row>
    <row r="81" spans="2:11" ht="24" customHeight="1" x14ac:dyDescent="0.4">
      <c r="B81" s="2" t="s">
        <v>75</v>
      </c>
      <c r="C81" s="2"/>
      <c r="D81" s="2" t="s">
        <v>76</v>
      </c>
      <c r="E81" s="2" t="s">
        <v>77</v>
      </c>
      <c r="F81" s="2" t="s">
        <v>78</v>
      </c>
      <c r="G81" s="2" t="s">
        <v>19</v>
      </c>
      <c r="H81" s="2" t="s">
        <v>20</v>
      </c>
      <c r="I81" s="2" t="s">
        <v>79</v>
      </c>
      <c r="J81" s="2"/>
      <c r="K81" s="2"/>
    </row>
    <row r="82" spans="2:11" ht="24" customHeight="1" x14ac:dyDescent="0.4">
      <c r="B82" s="26" t="s">
        <v>80</v>
      </c>
      <c r="C82" s="26" t="s">
        <v>81</v>
      </c>
      <c r="D82" s="27">
        <f>'P&amp;L REPORT 1'!H18</f>
        <v>2989683.2940000002</v>
      </c>
      <c r="E82" s="27">
        <f>'P&amp;L REPORT 1'!J18</f>
        <v>325589.48427000002</v>
      </c>
      <c r="F82" s="27">
        <f>'P&amp;L REPORT 1'!K18</f>
        <v>48838.450000000004</v>
      </c>
      <c r="G82" s="27">
        <f>'P&amp;L REPORT 1'!M18</f>
        <v>110700.42</v>
      </c>
      <c r="H82" s="27">
        <f>'P&amp;L REPORT 1'!N18</f>
        <v>0</v>
      </c>
      <c r="I82" s="26" t="s">
        <v>82</v>
      </c>
      <c r="J82" s="26"/>
      <c r="K82" s="26"/>
    </row>
    <row r="83" spans="2:11" ht="23.4" customHeight="1" x14ac:dyDescent="0.4">
      <c r="B83" s="3" t="s">
        <v>83</v>
      </c>
      <c r="C83" s="3" t="s">
        <v>84</v>
      </c>
      <c r="D83" s="5">
        <f>SUM('Pivot Report 2'!B2:D48)</f>
        <v>86631.750000000029</v>
      </c>
      <c r="E83" s="5">
        <f>SUM('Pivot Report 2'!B2:D48)</f>
        <v>86631.750000000029</v>
      </c>
      <c r="F83" s="5">
        <f>SUM('Pivot Report 2'!B2:B48)</f>
        <v>12994.709999999997</v>
      </c>
      <c r="G83" s="5">
        <f>SUM('Pivot Report 2'!C2:C48)</f>
        <v>44182.19</v>
      </c>
      <c r="H83" s="5">
        <f>SUM('Pivot Report 2'!D2:D48)</f>
        <v>29454.85</v>
      </c>
      <c r="I83" s="3" t="s">
        <v>85</v>
      </c>
      <c r="J83" s="3"/>
      <c r="K83" s="3"/>
    </row>
    <row r="84" spans="2:11" ht="21.75" customHeight="1" x14ac:dyDescent="0.4">
      <c r="B84" s="1" t="s">
        <v>86</v>
      </c>
      <c r="C84" s="1"/>
      <c r="D84" s="28">
        <f>'P&amp;L REPORT 1'!H18+SUM('Pivot Report 2'!B2:D48)</f>
        <v>3076315.0440000002</v>
      </c>
      <c r="E84" s="28">
        <f>'P&amp;L REPORT 1'!J18+SUM('Pivot Report 2'!B2:D48)</f>
        <v>412221.23427000002</v>
      </c>
      <c r="F84" s="28">
        <f>'P&amp;L REPORT 1'!K18+SUM('Pivot Report 2'!B2:B48)</f>
        <v>61833.16</v>
      </c>
      <c r="G84" s="28">
        <f>'P&amp;L REPORT 1'!M18+SUM('Pivot Report 2'!C2:C48)</f>
        <v>154882.60999999999</v>
      </c>
      <c r="H84" s="28">
        <f>'P&amp;L REPORT 1'!N18+SUM('Pivot Report 2'!D2:D48)</f>
        <v>29454.85</v>
      </c>
      <c r="I84" s="1"/>
      <c r="J84" s="1"/>
      <c r="K84" s="1"/>
    </row>
    <row r="85" spans="2:11" ht="18" customHeight="1" x14ac:dyDescent="0.4"/>
    <row r="86" spans="2:11" ht="15.75" customHeight="1" x14ac:dyDescent="0.4">
      <c r="B86" s="106" t="s">
        <v>87</v>
      </c>
      <c r="C86" s="106"/>
      <c r="D86" s="106"/>
      <c r="E86" s="106"/>
      <c r="F86" s="106"/>
      <c r="G86" s="106"/>
      <c r="H86" s="106"/>
      <c r="I86" s="106"/>
      <c r="J86" s="106"/>
      <c r="K86" s="106"/>
    </row>
    <row r="87" spans="2:11" ht="24" customHeight="1" x14ac:dyDescent="0.4">
      <c r="B87" s="29" t="s">
        <v>88</v>
      </c>
      <c r="C87" s="29" t="s">
        <v>89</v>
      </c>
      <c r="D87" s="29" t="s">
        <v>90</v>
      </c>
      <c r="E87" s="29" t="s">
        <v>91</v>
      </c>
      <c r="F87" s="29" t="s">
        <v>92</v>
      </c>
      <c r="G87" s="29" t="s">
        <v>5</v>
      </c>
      <c r="H87" s="29" t="s">
        <v>93</v>
      </c>
      <c r="I87" s="29"/>
      <c r="J87" s="29"/>
      <c r="K87" s="29"/>
    </row>
    <row r="88" spans="2:11" ht="18" customHeight="1" x14ac:dyDescent="0.4">
      <c r="B88" s="16" t="s">
        <v>94</v>
      </c>
      <c r="C88" s="16" t="s">
        <v>95</v>
      </c>
      <c r="D88" s="17">
        <v>11</v>
      </c>
      <c r="E88" s="30">
        <f>SUMIF('sale resgister'!C2:C50,"Batch 1",'sale resgister'!E2:E50)</f>
        <v>566.51499999999999</v>
      </c>
      <c r="F88" s="31">
        <f>COUNTIFS('sale resgister'!C2:C50,"Batch 1",'sale resgister'!M2:M50,"Sold")</f>
        <v>4</v>
      </c>
      <c r="G88" s="31">
        <f>COUNTIFS('sale resgister'!C2:C50,"Batch 1",'sale resgister'!M2:M50,"Stock")</f>
        <v>7</v>
      </c>
      <c r="H88" s="30">
        <f>SUMIFS('sale resgister'!E2:E50,'sale resgister'!C2:C50,"Batch 1",'sale resgister'!M2:M50,"Sold")</f>
        <v>106.124</v>
      </c>
      <c r="I88" s="16"/>
      <c r="J88" s="16"/>
      <c r="K88" s="16"/>
    </row>
    <row r="89" spans="2:11" ht="18" customHeight="1" x14ac:dyDescent="0.4">
      <c r="B89" s="32" t="s">
        <v>96</v>
      </c>
      <c r="C89" s="32" t="s">
        <v>97</v>
      </c>
      <c r="D89" s="33">
        <v>5</v>
      </c>
      <c r="E89" s="4">
        <f>SUMIF('sale resgister'!C2:C50,"Batch 2",'sale resgister'!E2:E50)</f>
        <v>47.076000000000001</v>
      </c>
      <c r="F89" s="34">
        <f>COUNTIFS('sale resgister'!C2:C50,"Batch 2",'sale resgister'!M2:M50,"Sold")</f>
        <v>3</v>
      </c>
      <c r="G89" s="34">
        <f>COUNTIFS('sale resgister'!C2:C50,"Batch 2",'sale resgister'!M2:M50,"Stock")</f>
        <v>0</v>
      </c>
      <c r="H89" s="4">
        <f>SUMIFS('sale resgister'!E2:E50,'sale resgister'!C2:C50,"Batch 2",'sale resgister'!M2:M50,"Sold")</f>
        <v>47.076000000000001</v>
      </c>
      <c r="I89" s="32"/>
      <c r="J89" s="32"/>
      <c r="K89" s="32"/>
    </row>
    <row r="90" spans="2:11" ht="18" customHeight="1" x14ac:dyDescent="0.4">
      <c r="B90" s="16" t="s">
        <v>98</v>
      </c>
      <c r="C90" s="16" t="s">
        <v>99</v>
      </c>
      <c r="D90" s="17">
        <v>28</v>
      </c>
      <c r="E90" s="30">
        <f>SUMIF('sale resgister'!C2:C50,"Batch 3",'sale resgister'!E2:E50)</f>
        <v>490.47500000000002</v>
      </c>
      <c r="F90" s="31">
        <f>COUNTIFS('sale resgister'!C2:C50,"Batch 3",'sale resgister'!M2:M50,"Sold")</f>
        <v>11</v>
      </c>
      <c r="G90" s="31">
        <f>COUNTIFS('sale resgister'!C2:C50,"Batch 3",'sale resgister'!M2:M50,"Stock")</f>
        <v>19</v>
      </c>
      <c r="H90" s="30">
        <f>SUMIFS('sale resgister'!E2:E50,'sale resgister'!C2:C50,"Batch 3",'sale resgister'!M2:M50,"Sold")</f>
        <v>112.801</v>
      </c>
      <c r="I90" s="16"/>
      <c r="J90" s="16"/>
      <c r="K90" s="16"/>
    </row>
    <row r="91" spans="2:11" ht="19.5" customHeight="1" x14ac:dyDescent="0.4">
      <c r="B91" s="29" t="s">
        <v>100</v>
      </c>
      <c r="C91" s="29" t="s">
        <v>101</v>
      </c>
      <c r="D91" s="35">
        <v>44</v>
      </c>
      <c r="E91" s="36">
        <f>SUM('sale resgister'!E2:E100)</f>
        <v>1104.066</v>
      </c>
      <c r="F91" s="35">
        <f>COUNTIF('sale resgister'!M2:M100,"Sold")</f>
        <v>18</v>
      </c>
      <c r="G91" s="35">
        <f>COUNTIF('sale resgister'!M2:M100,"Stock")</f>
        <v>26</v>
      </c>
      <c r="H91" s="36">
        <f>SUMIF('sale resgister'!M2:M100,"Sold",'sale resgister'!E2:E100)</f>
        <v>266.00099999999998</v>
      </c>
      <c r="I91" s="29"/>
      <c r="J91" s="29"/>
      <c r="K91" s="29"/>
    </row>
    <row r="92" spans="2:11" ht="18" customHeight="1" x14ac:dyDescent="0.4"/>
    <row r="93" spans="2:11" ht="15.75" customHeight="1" x14ac:dyDescent="0.4">
      <c r="B93" s="106" t="s">
        <v>102</v>
      </c>
      <c r="C93" s="106"/>
      <c r="D93" s="106"/>
      <c r="E93" s="106"/>
      <c r="F93" s="106"/>
      <c r="G93" s="106"/>
      <c r="H93" s="106"/>
      <c r="I93" s="106"/>
      <c r="J93" s="106"/>
      <c r="K93" s="106"/>
    </row>
    <row r="94" spans="2:11" ht="24" customHeight="1" x14ac:dyDescent="0.4">
      <c r="B94" s="37" t="s">
        <v>103</v>
      </c>
      <c r="C94" s="37" t="s">
        <v>104</v>
      </c>
      <c r="D94" s="37" t="s">
        <v>105</v>
      </c>
      <c r="E94" s="37" t="s">
        <v>106</v>
      </c>
      <c r="F94" s="37" t="s">
        <v>107</v>
      </c>
      <c r="G94" s="37" t="s">
        <v>108</v>
      </c>
      <c r="H94" s="37"/>
      <c r="I94" s="37"/>
      <c r="J94" s="37"/>
      <c r="K94" s="37"/>
    </row>
    <row r="95" spans="2:11" ht="19.5" customHeight="1" x14ac:dyDescent="0.4">
      <c r="B95" s="38" t="s">
        <v>109</v>
      </c>
      <c r="C95" s="39">
        <f>'P&amp;L REPORT 1'!M18</f>
        <v>110700.42</v>
      </c>
      <c r="D95" s="39">
        <f>SUM('Pivot Report 2'!C2:C48)</f>
        <v>44182.19</v>
      </c>
      <c r="E95" s="39">
        <f>'P&amp;L REPORT 1'!M18+SUM('Pivot Report 2'!C2:C48)</f>
        <v>154882.60999999999</v>
      </c>
      <c r="F95" s="40">
        <f>('P&amp;L REPORT 1'!K18+SUM('Pivot Report 2'!C2:C48))/('P&amp;L REPORT 1'!J18+SUM('Pivot Report 2'!B2:D48))</f>
        <v>0.22565707990450729</v>
      </c>
      <c r="G95" s="41" t="s">
        <v>110</v>
      </c>
    </row>
    <row r="96" spans="2:11" ht="19.5" customHeight="1" x14ac:dyDescent="0.4">
      <c r="B96" s="42" t="s">
        <v>111</v>
      </c>
      <c r="C96" s="43">
        <f>'P&amp;L REPORT 1'!N18</f>
        <v>0</v>
      </c>
      <c r="D96" s="43">
        <f>SUM('Pivot Report 2'!D2:D48)</f>
        <v>29454.85</v>
      </c>
      <c r="E96" s="43">
        <f>'P&amp;L REPORT 1'!N18+SUM('Pivot Report 2'!D2:D48)</f>
        <v>29454.85</v>
      </c>
      <c r="F96" s="44">
        <f>('P&amp;L REPORT 1'!N18+SUM('Pivot Report 2'!D2:D48))/('P&amp;L REPORT 1'!J18+SUM('Pivot Report 2'!B2:D48))</f>
        <v>7.1453985266337394E-2</v>
      </c>
      <c r="G96" s="45" t="s">
        <v>82</v>
      </c>
    </row>
    <row r="97" spans="2:11" ht="19.5" customHeight="1" x14ac:dyDescent="0.4">
      <c r="B97" s="46" t="s">
        <v>112</v>
      </c>
      <c r="C97" s="47">
        <f>'P&amp;L REPORT 1'!K18</f>
        <v>48838.450000000004</v>
      </c>
      <c r="D97" s="47">
        <f>SUM('Pivot Report 2'!B2:B48)</f>
        <v>12994.709999999997</v>
      </c>
      <c r="E97" s="47">
        <f>'P&amp;L REPORT 1'!K18+SUM('Pivot Report 2'!B2:B48)</f>
        <v>61833.16</v>
      </c>
      <c r="F97" s="48">
        <f>('P&amp;L REPORT 1'!K18+SUM('Pivot Report 2'!B2:B48))/('P&amp;L REPORT 1'!J18+SUM('Pivot Report 2'!B2:D48))</f>
        <v>0.149999939012118</v>
      </c>
      <c r="G97" s="49" t="s">
        <v>82</v>
      </c>
    </row>
    <row r="98" spans="2:11" ht="18" customHeight="1" x14ac:dyDescent="0.4"/>
    <row r="99" spans="2:11" ht="31.5" customHeight="1" x14ac:dyDescent="0.4">
      <c r="B99" s="105" t="s">
        <v>113</v>
      </c>
      <c r="C99" s="105"/>
      <c r="D99" s="105"/>
      <c r="E99" s="105"/>
      <c r="F99" s="105"/>
      <c r="G99" s="105"/>
      <c r="H99" s="105"/>
      <c r="I99" s="105"/>
      <c r="J99" s="105"/>
      <c r="K99" s="105"/>
    </row>
    <row r="100" spans="2:11" ht="18" customHeight="1" x14ac:dyDescent="0.4"/>
    <row r="101" spans="2:11" ht="18" customHeight="1" x14ac:dyDescent="0.4"/>
    <row r="102" spans="2:11" ht="18" customHeight="1" x14ac:dyDescent="0.4"/>
    <row r="103" spans="2:11" ht="18" customHeight="1" x14ac:dyDescent="0.4"/>
    <row r="104" spans="2:11" ht="18" customHeight="1" x14ac:dyDescent="0.4"/>
    <row r="105" spans="2:11" ht="18" customHeight="1" x14ac:dyDescent="0.4"/>
    <row r="106" spans="2:11" ht="18" customHeight="1" x14ac:dyDescent="0.4"/>
    <row r="107" spans="2:11" ht="18" customHeight="1" x14ac:dyDescent="0.4"/>
    <row r="108" spans="2:11" ht="18" customHeight="1" x14ac:dyDescent="0.4"/>
    <row r="109" spans="2:11" ht="18" customHeight="1" x14ac:dyDescent="0.4"/>
    <row r="110" spans="2:11" ht="18" customHeight="1" x14ac:dyDescent="0.4"/>
    <row r="111" spans="2:11" ht="18" customHeight="1" x14ac:dyDescent="0.4"/>
    <row r="112" spans="2:11" ht="18" customHeight="1" x14ac:dyDescent="0.4"/>
    <row r="113" ht="18" customHeight="1" x14ac:dyDescent="0.4"/>
    <row r="114" ht="18" customHeight="1" x14ac:dyDescent="0.4"/>
    <row r="115" ht="18" customHeight="1" x14ac:dyDescent="0.4"/>
    <row r="116" ht="18" customHeight="1" x14ac:dyDescent="0.4"/>
    <row r="117" ht="18" customHeight="1" x14ac:dyDescent="0.4"/>
    <row r="118" ht="18" customHeight="1" x14ac:dyDescent="0.4"/>
    <row r="119" ht="18" customHeight="1" x14ac:dyDescent="0.4"/>
  </sheetData>
  <mergeCells count="30">
    <mergeCell ref="B2:K2"/>
    <mergeCell ref="B3:K3"/>
    <mergeCell ref="B4:K4"/>
    <mergeCell ref="B6:K6"/>
    <mergeCell ref="B7:C7"/>
    <mergeCell ref="D7:E7"/>
    <mergeCell ref="F7:G7"/>
    <mergeCell ref="H7:I7"/>
    <mergeCell ref="J7:K7"/>
    <mergeCell ref="B8:C8"/>
    <mergeCell ref="D8:E8"/>
    <mergeCell ref="F8:G8"/>
    <mergeCell ref="H8:I8"/>
    <mergeCell ref="J8:K8"/>
    <mergeCell ref="B9:C9"/>
    <mergeCell ref="D9:E9"/>
    <mergeCell ref="F9:G9"/>
    <mergeCell ref="H9:I9"/>
    <mergeCell ref="J9:K9"/>
    <mergeCell ref="B10:C10"/>
    <mergeCell ref="D10:E10"/>
    <mergeCell ref="F10:G10"/>
    <mergeCell ref="H10:I10"/>
    <mergeCell ref="J10:K10"/>
    <mergeCell ref="B99:K99"/>
    <mergeCell ref="B12:K12"/>
    <mergeCell ref="B32:K32"/>
    <mergeCell ref="B80:K80"/>
    <mergeCell ref="B86:K86"/>
    <mergeCell ref="B93:K93"/>
  </mergeCells>
  <conditionalFormatting sqref="N8">
    <cfRule type="containsText" dxfId="64" priority="1" operator="containsText" text="True">
      <formula>NOT(ISERROR(SEARCH("True",N8)))</formula>
    </cfRule>
    <cfRule type="containsText" dxfId="63" priority="2" operator="containsText" text="False">
      <formula>NOT(ISERROR(SEARCH("False",N8)))</formula>
    </cfRule>
  </conditionalFormatting>
  <pageMargins left="0.08" right="0.18" top="0.37" bottom="0.4" header="0.08" footer="0.21"/>
  <pageSetup paperSize="9" fitToHeight="0" orientation="landscape" horizontalDpi="300" verticalDpi="300" r:id="rId1"/>
  <headerFooter>
    <oddFooter>&amp;L&amp;A&amp;C&amp;D | &amp;T&amp;R&amp;P/&amp;N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8"/>
  <sheetViews>
    <sheetView showGridLines="0" topLeftCell="A35" zoomScaleNormal="100" workbookViewId="0">
      <selection activeCell="A49" sqref="A49"/>
    </sheetView>
  </sheetViews>
  <sheetFormatPr defaultColWidth="8.69140625" defaultRowHeight="14.15" x14ac:dyDescent="0.35"/>
  <cols>
    <col min="1" max="1" width="37.53515625" style="81" bestFit="1" customWidth="1"/>
    <col min="2" max="2" width="17.84375" style="81" customWidth="1"/>
    <col min="3" max="3" width="18.84375" style="81" bestFit="1" customWidth="1"/>
    <col min="4" max="4" width="18.53515625" style="81" bestFit="1" customWidth="1"/>
    <col min="5" max="8" width="5.84375" style="81" customWidth="1"/>
    <col min="9" max="12" width="6.84375" style="81" customWidth="1"/>
    <col min="13" max="13" width="5.84375" style="81" customWidth="1"/>
    <col min="14" max="42" width="6.84375" style="81" customWidth="1"/>
    <col min="43" max="47" width="7.84375" style="81" customWidth="1"/>
    <col min="48" max="48" width="6.84375" style="81" customWidth="1"/>
    <col min="49" max="53" width="7.84375" style="81" customWidth="1"/>
    <col min="54" max="54" width="6.84375" style="81" customWidth="1"/>
    <col min="55" max="58" width="7.84375" style="81" customWidth="1"/>
    <col min="59" max="59" width="6.84375" style="81" customWidth="1"/>
    <col min="60" max="72" width="7.84375" style="81" customWidth="1"/>
    <col min="73" max="73" width="8.69140625" style="81"/>
    <col min="74" max="74" width="5.23046875" style="81" customWidth="1"/>
    <col min="75" max="75" width="6.69140625" style="81" customWidth="1"/>
    <col min="76" max="76" width="10.69140625" style="81" customWidth="1"/>
    <col min="77" max="16384" width="8.69140625" style="81"/>
  </cols>
  <sheetData>
    <row r="1" spans="1:4" ht="18.899999999999999" x14ac:dyDescent="0.5">
      <c r="B1" s="82" t="s">
        <v>190</v>
      </c>
    </row>
    <row r="2" spans="1:4" ht="14.6" thickBot="1" x14ac:dyDescent="0.4"/>
    <row r="3" spans="1:4" x14ac:dyDescent="0.35">
      <c r="B3" s="128" t="s">
        <v>204</v>
      </c>
    </row>
    <row r="4" spans="1:4" x14ac:dyDescent="0.35">
      <c r="A4" s="128" t="s">
        <v>205</v>
      </c>
      <c r="B4" s="81" t="s">
        <v>114</v>
      </c>
      <c r="C4" s="81" t="s">
        <v>115</v>
      </c>
      <c r="D4" s="81" t="s">
        <v>116</v>
      </c>
    </row>
    <row r="5" spans="1:4" x14ac:dyDescent="0.35">
      <c r="A5" s="129" t="s">
        <v>31</v>
      </c>
      <c r="B5" s="98">
        <v>0</v>
      </c>
      <c r="C5" s="98">
        <v>0</v>
      </c>
      <c r="D5" s="98">
        <v>0</v>
      </c>
    </row>
    <row r="6" spans="1:4" x14ac:dyDescent="0.35">
      <c r="A6" s="129" t="s">
        <v>34</v>
      </c>
      <c r="B6" s="98">
        <v>0</v>
      </c>
      <c r="C6" s="98">
        <v>0</v>
      </c>
      <c r="D6" s="98">
        <v>0</v>
      </c>
    </row>
    <row r="7" spans="1:4" x14ac:dyDescent="0.35">
      <c r="A7" s="129" t="s">
        <v>35</v>
      </c>
      <c r="B7" s="98">
        <v>0</v>
      </c>
      <c r="C7" s="98">
        <v>0</v>
      </c>
      <c r="D7" s="98">
        <v>0</v>
      </c>
    </row>
    <row r="8" spans="1:4" x14ac:dyDescent="0.35">
      <c r="A8" s="129" t="s">
        <v>36</v>
      </c>
      <c r="B8" s="98">
        <v>0</v>
      </c>
      <c r="C8" s="98">
        <v>0</v>
      </c>
      <c r="D8" s="98">
        <v>0</v>
      </c>
    </row>
    <row r="9" spans="1:4" x14ac:dyDescent="0.35">
      <c r="A9" s="129" t="s">
        <v>37</v>
      </c>
      <c r="B9" s="98">
        <v>0</v>
      </c>
      <c r="C9" s="98">
        <v>0</v>
      </c>
      <c r="D9" s="98">
        <v>0</v>
      </c>
    </row>
    <row r="10" spans="1:4" x14ac:dyDescent="0.35">
      <c r="A10" s="129" t="s">
        <v>38</v>
      </c>
      <c r="B10" s="98">
        <v>3848.81</v>
      </c>
      <c r="C10" s="98">
        <v>13085.96</v>
      </c>
      <c r="D10" s="98">
        <v>8723.99</v>
      </c>
    </row>
    <row r="11" spans="1:4" x14ac:dyDescent="0.35">
      <c r="A11" s="129" t="s">
        <v>117</v>
      </c>
      <c r="B11" s="98">
        <v>0</v>
      </c>
      <c r="C11" s="98">
        <v>0</v>
      </c>
      <c r="D11" s="98">
        <v>0</v>
      </c>
    </row>
    <row r="12" spans="1:4" x14ac:dyDescent="0.35">
      <c r="A12" s="129" t="s">
        <v>118</v>
      </c>
      <c r="B12" s="98">
        <v>1424.14</v>
      </c>
      <c r="C12" s="98">
        <v>4842.1000000000004</v>
      </c>
      <c r="D12" s="98">
        <v>3228.08</v>
      </c>
    </row>
    <row r="13" spans="1:4" x14ac:dyDescent="0.35">
      <c r="A13" s="129" t="s">
        <v>41</v>
      </c>
      <c r="B13" s="98">
        <v>846.37000000000012</v>
      </c>
      <c r="C13" s="98">
        <v>2877.6800000000003</v>
      </c>
      <c r="D13" s="98">
        <v>1918.4499999999998</v>
      </c>
    </row>
    <row r="14" spans="1:4" x14ac:dyDescent="0.35">
      <c r="A14" s="129" t="s">
        <v>42</v>
      </c>
      <c r="B14" s="98">
        <v>846.37000000000012</v>
      </c>
      <c r="C14" s="98">
        <v>2877.6800000000003</v>
      </c>
      <c r="D14" s="98">
        <v>1918.4499999999998</v>
      </c>
    </row>
    <row r="15" spans="1:4" x14ac:dyDescent="0.35">
      <c r="A15" s="129" t="s">
        <v>43</v>
      </c>
      <c r="B15" s="98">
        <v>846.37000000000012</v>
      </c>
      <c r="C15" s="98">
        <v>2877.6800000000003</v>
      </c>
      <c r="D15" s="98">
        <v>1918.4499999999998</v>
      </c>
    </row>
    <row r="16" spans="1:4" x14ac:dyDescent="0.35">
      <c r="A16" s="129" t="s">
        <v>44</v>
      </c>
      <c r="B16" s="98">
        <v>0</v>
      </c>
      <c r="C16" s="98">
        <v>0</v>
      </c>
      <c r="D16" s="98">
        <v>0</v>
      </c>
    </row>
    <row r="17" spans="1:4" x14ac:dyDescent="0.35">
      <c r="A17" s="129" t="s">
        <v>45</v>
      </c>
      <c r="B17" s="98">
        <v>0</v>
      </c>
      <c r="C17" s="98">
        <v>0</v>
      </c>
      <c r="D17" s="98">
        <v>0</v>
      </c>
    </row>
    <row r="18" spans="1:4" x14ac:dyDescent="0.35">
      <c r="A18" s="129" t="s">
        <v>46</v>
      </c>
      <c r="B18" s="98">
        <v>0</v>
      </c>
      <c r="C18" s="98">
        <v>0</v>
      </c>
      <c r="D18" s="98">
        <v>0</v>
      </c>
    </row>
    <row r="19" spans="1:4" x14ac:dyDescent="0.35">
      <c r="A19" s="129" t="s">
        <v>47</v>
      </c>
      <c r="B19" s="98">
        <v>0</v>
      </c>
      <c r="C19" s="98">
        <v>0</v>
      </c>
      <c r="D19" s="98">
        <v>0</v>
      </c>
    </row>
    <row r="20" spans="1:4" x14ac:dyDescent="0.35">
      <c r="A20" s="129" t="s">
        <v>48</v>
      </c>
      <c r="B20" s="98">
        <v>0</v>
      </c>
      <c r="C20" s="98">
        <v>0</v>
      </c>
      <c r="D20" s="98">
        <v>0</v>
      </c>
    </row>
    <row r="21" spans="1:4" x14ac:dyDescent="0.35">
      <c r="A21" s="129" t="s">
        <v>49</v>
      </c>
      <c r="B21" s="98">
        <v>0</v>
      </c>
      <c r="C21" s="98">
        <v>0</v>
      </c>
      <c r="D21" s="98">
        <v>0</v>
      </c>
    </row>
    <row r="22" spans="1:4" x14ac:dyDescent="0.35">
      <c r="A22" s="129" t="s">
        <v>50</v>
      </c>
      <c r="B22" s="98">
        <v>0</v>
      </c>
      <c r="C22" s="98">
        <v>0</v>
      </c>
      <c r="D22" s="98">
        <v>0</v>
      </c>
    </row>
    <row r="23" spans="1:4" x14ac:dyDescent="0.35">
      <c r="A23" s="129" t="s">
        <v>51</v>
      </c>
      <c r="B23" s="98">
        <v>0</v>
      </c>
      <c r="C23" s="98">
        <v>0</v>
      </c>
      <c r="D23" s="98">
        <v>0</v>
      </c>
    </row>
    <row r="24" spans="1:4" x14ac:dyDescent="0.35">
      <c r="A24" s="129" t="s">
        <v>52</v>
      </c>
      <c r="B24" s="98">
        <v>0</v>
      </c>
      <c r="C24" s="98">
        <v>0</v>
      </c>
      <c r="D24" s="98">
        <v>0</v>
      </c>
    </row>
    <row r="25" spans="1:4" x14ac:dyDescent="0.35">
      <c r="A25" s="129" t="s">
        <v>119</v>
      </c>
      <c r="B25" s="98">
        <v>30.87</v>
      </c>
      <c r="C25" s="98">
        <v>104.97</v>
      </c>
      <c r="D25" s="98">
        <v>69.98</v>
      </c>
    </row>
    <row r="26" spans="1:4" x14ac:dyDescent="0.35">
      <c r="A26" s="129" t="s">
        <v>53</v>
      </c>
      <c r="B26" s="98">
        <v>0</v>
      </c>
      <c r="C26" s="98">
        <v>0</v>
      </c>
      <c r="D26" s="98">
        <v>0</v>
      </c>
    </row>
    <row r="27" spans="1:4" x14ac:dyDescent="0.35">
      <c r="A27" s="129" t="s">
        <v>54</v>
      </c>
      <c r="B27" s="98">
        <v>844.70999999999992</v>
      </c>
      <c r="C27" s="98">
        <v>2872.04</v>
      </c>
      <c r="D27" s="98">
        <v>1914.6999999999998</v>
      </c>
    </row>
    <row r="28" spans="1:4" x14ac:dyDescent="0.35">
      <c r="A28" s="129" t="s">
        <v>55</v>
      </c>
      <c r="B28" s="98">
        <v>0</v>
      </c>
      <c r="C28" s="98">
        <v>0</v>
      </c>
      <c r="D28" s="98">
        <v>0</v>
      </c>
    </row>
    <row r="29" spans="1:4" x14ac:dyDescent="0.35">
      <c r="A29" s="129" t="s">
        <v>56</v>
      </c>
      <c r="B29" s="98">
        <v>868.99</v>
      </c>
      <c r="C29" s="98">
        <v>2954.57</v>
      </c>
      <c r="D29" s="98">
        <v>1969.7199999999998</v>
      </c>
    </row>
    <row r="30" spans="1:4" x14ac:dyDescent="0.35">
      <c r="A30" s="129" t="s">
        <v>57</v>
      </c>
      <c r="B30" s="98">
        <v>797.61999999999989</v>
      </c>
      <c r="C30" s="98">
        <v>2711.89</v>
      </c>
      <c r="D30" s="98">
        <v>1807.93</v>
      </c>
    </row>
    <row r="31" spans="1:4" x14ac:dyDescent="0.35">
      <c r="A31" s="129" t="s">
        <v>58</v>
      </c>
      <c r="B31" s="98">
        <v>0</v>
      </c>
      <c r="C31" s="98">
        <v>0</v>
      </c>
      <c r="D31" s="98">
        <v>0</v>
      </c>
    </row>
    <row r="32" spans="1:4" x14ac:dyDescent="0.35">
      <c r="A32" s="129" t="s">
        <v>59</v>
      </c>
      <c r="B32" s="98">
        <v>0</v>
      </c>
      <c r="C32" s="98">
        <v>0</v>
      </c>
      <c r="D32" s="98">
        <v>0</v>
      </c>
    </row>
    <row r="33" spans="1:4" x14ac:dyDescent="0.35">
      <c r="A33" s="129" t="s">
        <v>60</v>
      </c>
      <c r="B33" s="98">
        <v>0</v>
      </c>
      <c r="C33" s="98">
        <v>0</v>
      </c>
      <c r="D33" s="98">
        <v>0</v>
      </c>
    </row>
    <row r="34" spans="1:4" x14ac:dyDescent="0.35">
      <c r="A34" s="129" t="s">
        <v>120</v>
      </c>
      <c r="B34" s="98">
        <v>0</v>
      </c>
      <c r="C34" s="98">
        <v>0</v>
      </c>
      <c r="D34" s="98">
        <v>0</v>
      </c>
    </row>
    <row r="35" spans="1:4" x14ac:dyDescent="0.35">
      <c r="A35" s="129" t="s">
        <v>61</v>
      </c>
      <c r="B35" s="98">
        <v>1760.32</v>
      </c>
      <c r="C35" s="98">
        <v>5985.1099999999988</v>
      </c>
      <c r="D35" s="98">
        <v>3990.08</v>
      </c>
    </row>
    <row r="36" spans="1:4" x14ac:dyDescent="0.35">
      <c r="A36" s="129" t="s">
        <v>121</v>
      </c>
      <c r="B36" s="98">
        <v>0</v>
      </c>
      <c r="C36" s="98">
        <v>0</v>
      </c>
      <c r="D36" s="98">
        <v>0</v>
      </c>
    </row>
    <row r="37" spans="1:4" x14ac:dyDescent="0.35">
      <c r="A37" s="129" t="s">
        <v>62</v>
      </c>
      <c r="B37" s="98">
        <v>0</v>
      </c>
      <c r="C37" s="98">
        <v>0</v>
      </c>
      <c r="D37" s="98">
        <v>0</v>
      </c>
    </row>
    <row r="38" spans="1:4" x14ac:dyDescent="0.35">
      <c r="A38" s="129" t="s">
        <v>63</v>
      </c>
      <c r="B38" s="98">
        <v>51.67</v>
      </c>
      <c r="C38" s="98">
        <v>175.69</v>
      </c>
      <c r="D38" s="98">
        <v>117.13</v>
      </c>
    </row>
    <row r="39" spans="1:4" x14ac:dyDescent="0.35">
      <c r="A39" s="129" t="s">
        <v>64</v>
      </c>
      <c r="B39" s="98">
        <v>0</v>
      </c>
      <c r="C39" s="98">
        <v>0</v>
      </c>
      <c r="D39" s="98">
        <v>0</v>
      </c>
    </row>
    <row r="40" spans="1:4" x14ac:dyDescent="0.35">
      <c r="A40" s="129" t="s">
        <v>65</v>
      </c>
      <c r="B40" s="98">
        <v>40.379999999999995</v>
      </c>
      <c r="C40" s="98">
        <v>137.27000000000001</v>
      </c>
      <c r="D40" s="98">
        <v>91.51</v>
      </c>
    </row>
    <row r="41" spans="1:4" x14ac:dyDescent="0.35">
      <c r="A41" s="129" t="s">
        <v>66</v>
      </c>
      <c r="B41" s="98">
        <v>0</v>
      </c>
      <c r="C41" s="98">
        <v>0</v>
      </c>
      <c r="D41" s="98">
        <v>0</v>
      </c>
    </row>
    <row r="42" spans="1:4" x14ac:dyDescent="0.35">
      <c r="A42" s="129" t="s">
        <v>67</v>
      </c>
      <c r="B42" s="98">
        <v>0</v>
      </c>
      <c r="C42" s="98">
        <v>0</v>
      </c>
      <c r="D42" s="98">
        <v>0</v>
      </c>
    </row>
    <row r="43" spans="1:4" x14ac:dyDescent="0.35">
      <c r="A43" s="129" t="s">
        <v>68</v>
      </c>
      <c r="B43" s="98">
        <v>331.98</v>
      </c>
      <c r="C43" s="98">
        <v>1128.78</v>
      </c>
      <c r="D43" s="98">
        <v>752.53</v>
      </c>
    </row>
    <row r="44" spans="1:4" x14ac:dyDescent="0.35">
      <c r="A44" s="129" t="s">
        <v>69</v>
      </c>
      <c r="B44" s="98">
        <v>138.16</v>
      </c>
      <c r="C44" s="98">
        <v>469.72</v>
      </c>
      <c r="D44" s="98">
        <v>313.14</v>
      </c>
    </row>
    <row r="45" spans="1:4" x14ac:dyDescent="0.35">
      <c r="A45" s="129" t="s">
        <v>70</v>
      </c>
      <c r="B45" s="98">
        <v>145.48999999999998</v>
      </c>
      <c r="C45" s="98">
        <v>494.65999999999997</v>
      </c>
      <c r="D45" s="98">
        <v>329.78</v>
      </c>
    </row>
    <row r="46" spans="1:4" x14ac:dyDescent="0.35">
      <c r="A46" s="129" t="s">
        <v>71</v>
      </c>
      <c r="B46" s="98">
        <v>133.64000000000001</v>
      </c>
      <c r="C46" s="98">
        <v>454.39</v>
      </c>
      <c r="D46" s="98">
        <v>302.92999999999995</v>
      </c>
    </row>
    <row r="47" spans="1:4" x14ac:dyDescent="0.35">
      <c r="A47" s="129" t="s">
        <v>72</v>
      </c>
      <c r="B47" s="98">
        <v>0</v>
      </c>
      <c r="C47" s="98">
        <v>0</v>
      </c>
      <c r="D47" s="98">
        <v>0</v>
      </c>
    </row>
    <row r="48" spans="1:4" x14ac:dyDescent="0.35">
      <c r="A48" s="129" t="s">
        <v>73</v>
      </c>
      <c r="B48" s="98">
        <v>38.82</v>
      </c>
      <c r="C48" s="98">
        <v>132</v>
      </c>
      <c r="D48" s="98">
        <v>88</v>
      </c>
    </row>
    <row r="49" spans="1:4" x14ac:dyDescent="0.35">
      <c r="A49" s="129" t="s">
        <v>11</v>
      </c>
      <c r="B49" s="98">
        <v>0</v>
      </c>
      <c r="C49" s="98">
        <v>0</v>
      </c>
      <c r="D49" s="98">
        <v>0</v>
      </c>
    </row>
    <row r="50" spans="1:4" x14ac:dyDescent="0.35">
      <c r="A50" s="129" t="s">
        <v>206</v>
      </c>
      <c r="B50" s="98"/>
      <c r="C50" s="98"/>
      <c r="D50" s="98"/>
    </row>
    <row r="51" spans="1:4" ht="14.6" thickBot="1" x14ac:dyDescent="0.4">
      <c r="A51" s="129" t="s">
        <v>207</v>
      </c>
      <c r="B51" s="98">
        <v>12994.709999999997</v>
      </c>
      <c r="C51" s="98">
        <v>44182.19</v>
      </c>
      <c r="D51" s="98">
        <v>29454.85</v>
      </c>
    </row>
    <row r="52" spans="1:4" ht="14.6" x14ac:dyDescent="0.4">
      <c r="C52" s="137"/>
    </row>
    <row r="53" spans="1:4" x14ac:dyDescent="0.35">
      <c r="C53" s="136"/>
    </row>
    <row r="54" spans="1:4" x14ac:dyDescent="0.35">
      <c r="C54" s="136"/>
    </row>
    <row r="55" spans="1:4" x14ac:dyDescent="0.35">
      <c r="B55" s="139" t="s">
        <v>200</v>
      </c>
      <c r="C55" s="140">
        <f>+'P&amp;L REPORT 1'!L18</f>
        <v>166050.62000000002</v>
      </c>
    </row>
    <row r="56" spans="1:4" x14ac:dyDescent="0.35">
      <c r="B56" s="139" t="s">
        <v>201</v>
      </c>
      <c r="C56" s="140">
        <f>+C51</f>
        <v>44182.19</v>
      </c>
    </row>
    <row r="57" spans="1:4" x14ac:dyDescent="0.35">
      <c r="B57" s="139" t="s">
        <v>202</v>
      </c>
      <c r="C57" s="140">
        <f>+'P&amp;L REPORT 3'!Q15</f>
        <v>86721.73</v>
      </c>
    </row>
    <row r="58" spans="1:4" x14ac:dyDescent="0.35">
      <c r="B58" s="141" t="s">
        <v>203</v>
      </c>
      <c r="C58" s="142">
        <f>SUM(C55:C57)</f>
        <v>296954.54000000004</v>
      </c>
    </row>
  </sheetData>
  <pageMargins left="0.7" right="0.7" top="0.75" bottom="0.75" header="0.511811023622047" footer="0.511811023622047"/>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6"/>
  <sheetViews>
    <sheetView showGridLines="0" topLeftCell="A24" zoomScale="65" zoomScaleNormal="65" workbookViewId="0">
      <selection activeCell="A46" sqref="A46:H55"/>
    </sheetView>
  </sheetViews>
  <sheetFormatPr defaultColWidth="8.69140625" defaultRowHeight="14.6" x14ac:dyDescent="0.4"/>
  <cols>
    <col min="2" max="2" width="23.23046875" bestFit="1" customWidth="1"/>
    <col min="8" max="8" width="11.07421875" bestFit="1" customWidth="1"/>
    <col min="10" max="10" width="12.84375" style="50" customWidth="1"/>
    <col min="11" max="11" width="26.69140625" customWidth="1"/>
    <col min="12" max="12" width="7" customWidth="1"/>
    <col min="13" max="13" width="6.84375" customWidth="1"/>
  </cols>
  <sheetData>
    <row r="1" spans="1:15" x14ac:dyDescent="0.4">
      <c r="A1" s="51" t="s">
        <v>122</v>
      </c>
      <c r="B1" s="51" t="s">
        <v>124</v>
      </c>
      <c r="C1" s="51" t="s">
        <v>123</v>
      </c>
      <c r="D1" s="51" t="s">
        <v>125</v>
      </c>
      <c r="E1" s="51" t="s">
        <v>199</v>
      </c>
      <c r="F1" s="51" t="s">
        <v>198</v>
      </c>
      <c r="G1" s="51" t="s">
        <v>126</v>
      </c>
      <c r="H1" s="51" t="s">
        <v>127</v>
      </c>
      <c r="I1" s="52" t="s">
        <v>128</v>
      </c>
      <c r="J1" s="53" t="s">
        <v>129</v>
      </c>
      <c r="K1" s="51" t="s">
        <v>130</v>
      </c>
      <c r="L1" s="51" t="s">
        <v>131</v>
      </c>
      <c r="M1" s="51" t="s">
        <v>132</v>
      </c>
    </row>
    <row r="2" spans="1:15" x14ac:dyDescent="0.4">
      <c r="A2" s="54" t="s">
        <v>133</v>
      </c>
      <c r="B2" s="54" t="s">
        <v>34</v>
      </c>
      <c r="C2" s="54" t="s">
        <v>94</v>
      </c>
      <c r="D2" s="54">
        <v>22</v>
      </c>
      <c r="E2" s="54">
        <v>43.466999999999999</v>
      </c>
      <c r="F2" s="54">
        <v>43.466999999999999</v>
      </c>
      <c r="G2" s="54">
        <v>92</v>
      </c>
      <c r="H2" s="55">
        <f>F2*G2%</f>
        <v>39.989640000000001</v>
      </c>
      <c r="J2" s="56"/>
      <c r="K2" s="57"/>
      <c r="L2" s="57"/>
      <c r="M2" s="58" t="s">
        <v>32</v>
      </c>
      <c r="O2" t="str">
        <f>+TEXT(H2,"0.000")</f>
        <v>39.990</v>
      </c>
    </row>
    <row r="3" spans="1:15" s="132" customFormat="1" x14ac:dyDescent="0.4">
      <c r="A3" s="130" t="s">
        <v>133</v>
      </c>
      <c r="B3" s="130" t="s">
        <v>38</v>
      </c>
      <c r="C3" s="130" t="s">
        <v>94</v>
      </c>
      <c r="D3" s="130">
        <v>22</v>
      </c>
      <c r="E3" s="130">
        <v>46.893000000000001</v>
      </c>
      <c r="F3" s="130">
        <v>46.893000000000001</v>
      </c>
      <c r="G3" s="130">
        <v>92</v>
      </c>
      <c r="H3" s="131">
        <f t="shared" ref="H3:H45" si="0">F3*G3%</f>
        <v>43.141560000000005</v>
      </c>
      <c r="J3" s="133">
        <v>45757</v>
      </c>
      <c r="K3" s="134" t="s">
        <v>134</v>
      </c>
      <c r="L3" s="134">
        <v>30724</v>
      </c>
      <c r="M3" s="135" t="s">
        <v>39</v>
      </c>
      <c r="O3" s="132" t="str">
        <f t="shared" ref="O3:O45" si="1">+TEXT(H3,"0.000")</f>
        <v>43.142</v>
      </c>
    </row>
    <row r="4" spans="1:15" x14ac:dyDescent="0.4">
      <c r="A4" s="54" t="s">
        <v>133</v>
      </c>
      <c r="B4" s="54" t="s">
        <v>37</v>
      </c>
      <c r="C4" s="54" t="s">
        <v>94</v>
      </c>
      <c r="D4" s="54">
        <v>22</v>
      </c>
      <c r="E4" s="54">
        <v>36.795000000000002</v>
      </c>
      <c r="F4" s="54">
        <v>32.44</v>
      </c>
      <c r="G4" s="54">
        <v>92</v>
      </c>
      <c r="H4" s="55">
        <f t="shared" si="0"/>
        <v>29.844799999999999</v>
      </c>
      <c r="J4" s="56"/>
      <c r="K4" s="57"/>
      <c r="L4" s="57"/>
      <c r="M4" s="58" t="s">
        <v>32</v>
      </c>
      <c r="O4" t="str">
        <f t="shared" si="1"/>
        <v>29.845</v>
      </c>
    </row>
    <row r="5" spans="1:15" x14ac:dyDescent="0.4">
      <c r="A5" s="54" t="s">
        <v>133</v>
      </c>
      <c r="B5" s="54" t="s">
        <v>36</v>
      </c>
      <c r="C5" s="54" t="s">
        <v>94</v>
      </c>
      <c r="D5" s="54">
        <v>22</v>
      </c>
      <c r="E5" s="54">
        <v>28.552</v>
      </c>
      <c r="F5" s="54">
        <v>28.552</v>
      </c>
      <c r="G5" s="54">
        <v>92</v>
      </c>
      <c r="H5" s="55">
        <f t="shared" si="0"/>
        <v>26.26784</v>
      </c>
      <c r="J5" s="56"/>
      <c r="K5" s="57"/>
      <c r="L5" s="57"/>
      <c r="M5" s="58" t="s">
        <v>32</v>
      </c>
      <c r="O5" t="str">
        <f t="shared" si="1"/>
        <v>26.268</v>
      </c>
    </row>
    <row r="6" spans="1:15" x14ac:dyDescent="0.4">
      <c r="A6" s="54" t="s">
        <v>133</v>
      </c>
      <c r="B6" s="54" t="s">
        <v>117</v>
      </c>
      <c r="C6" s="54" t="s">
        <v>94</v>
      </c>
      <c r="D6" s="54">
        <v>22</v>
      </c>
      <c r="E6" s="54">
        <v>27.5</v>
      </c>
      <c r="F6" s="54">
        <v>27.5</v>
      </c>
      <c r="G6" s="54">
        <v>92</v>
      </c>
      <c r="H6" s="55">
        <f t="shared" si="0"/>
        <v>25.3</v>
      </c>
      <c r="J6" s="56"/>
      <c r="K6" s="57"/>
      <c r="L6" s="57"/>
      <c r="M6" s="58" t="s">
        <v>32</v>
      </c>
      <c r="O6" t="str">
        <f t="shared" si="1"/>
        <v>25.300</v>
      </c>
    </row>
    <row r="7" spans="1:15" x14ac:dyDescent="0.4">
      <c r="A7" s="54" t="s">
        <v>133</v>
      </c>
      <c r="B7" s="54" t="s">
        <v>118</v>
      </c>
      <c r="C7" s="54" t="s">
        <v>94</v>
      </c>
      <c r="D7" s="54">
        <v>22</v>
      </c>
      <c r="E7" s="54">
        <v>26.34</v>
      </c>
      <c r="F7" s="54">
        <v>26.34</v>
      </c>
      <c r="G7" s="54">
        <v>92</v>
      </c>
      <c r="H7" s="55">
        <f t="shared" si="0"/>
        <v>24.232800000000001</v>
      </c>
      <c r="J7" s="59">
        <v>45922</v>
      </c>
      <c r="K7" s="57" t="s">
        <v>135</v>
      </c>
      <c r="L7" s="61">
        <v>21514</v>
      </c>
      <c r="M7" s="60" t="s">
        <v>39</v>
      </c>
      <c r="O7" t="str">
        <f t="shared" si="1"/>
        <v>24.233</v>
      </c>
    </row>
    <row r="8" spans="1:15" x14ac:dyDescent="0.4">
      <c r="A8" s="54" t="s">
        <v>133</v>
      </c>
      <c r="B8" s="54" t="s">
        <v>35</v>
      </c>
      <c r="C8" s="54" t="s">
        <v>94</v>
      </c>
      <c r="D8" s="54">
        <v>22</v>
      </c>
      <c r="E8" s="54">
        <v>26.966999999999999</v>
      </c>
      <c r="F8" s="54">
        <v>26.966999999999999</v>
      </c>
      <c r="G8" s="54">
        <v>92</v>
      </c>
      <c r="H8" s="55">
        <f t="shared" si="0"/>
        <v>24.809640000000002</v>
      </c>
      <c r="J8" s="56"/>
      <c r="K8" s="57"/>
      <c r="L8" s="57"/>
      <c r="M8" s="58" t="s">
        <v>32</v>
      </c>
      <c r="O8" t="str">
        <f t="shared" si="1"/>
        <v>24.810</v>
      </c>
    </row>
    <row r="9" spans="1:15" x14ac:dyDescent="0.4">
      <c r="A9" s="54" t="s">
        <v>133</v>
      </c>
      <c r="B9" s="54" t="s">
        <v>61</v>
      </c>
      <c r="C9" s="54" t="s">
        <v>94</v>
      </c>
      <c r="D9" s="54">
        <v>22</v>
      </c>
      <c r="E9" s="54">
        <v>29.302</v>
      </c>
      <c r="F9" s="54">
        <v>29.302</v>
      </c>
      <c r="G9" s="54">
        <v>92</v>
      </c>
      <c r="H9" s="55">
        <f t="shared" si="0"/>
        <v>26.957840000000001</v>
      </c>
      <c r="J9" s="59">
        <v>45878</v>
      </c>
      <c r="K9" s="57" t="s">
        <v>136</v>
      </c>
      <c r="L9" s="57">
        <v>21878</v>
      </c>
      <c r="M9" s="60" t="s">
        <v>39</v>
      </c>
      <c r="O9" t="str">
        <f t="shared" si="1"/>
        <v>26.958</v>
      </c>
    </row>
    <row r="10" spans="1:15" x14ac:dyDescent="0.4">
      <c r="A10" s="54" t="s">
        <v>133</v>
      </c>
      <c r="B10" s="54" t="s">
        <v>119</v>
      </c>
      <c r="C10" s="54" t="s">
        <v>94</v>
      </c>
      <c r="D10" s="54">
        <v>22</v>
      </c>
      <c r="E10" s="54">
        <v>3.589</v>
      </c>
      <c r="F10" s="54">
        <v>3.589</v>
      </c>
      <c r="G10" s="54">
        <v>92</v>
      </c>
      <c r="H10" s="55">
        <f t="shared" si="0"/>
        <v>3.3018800000000001</v>
      </c>
      <c r="J10" s="56">
        <v>46093</v>
      </c>
      <c r="K10" s="57" t="s">
        <v>137</v>
      </c>
      <c r="L10" s="57">
        <v>11884</v>
      </c>
      <c r="M10" s="58" t="s">
        <v>39</v>
      </c>
      <c r="O10" t="str">
        <f t="shared" si="1"/>
        <v>3.302</v>
      </c>
    </row>
    <row r="11" spans="1:15" x14ac:dyDescent="0.4">
      <c r="A11" s="54" t="s">
        <v>133</v>
      </c>
      <c r="B11" s="54" t="s">
        <v>120</v>
      </c>
      <c r="C11" s="54" t="s">
        <v>94</v>
      </c>
      <c r="D11" s="54">
        <v>24</v>
      </c>
      <c r="E11" s="55">
        <v>200</v>
      </c>
      <c r="F11" s="55">
        <v>200</v>
      </c>
      <c r="G11" s="55">
        <v>99.5</v>
      </c>
      <c r="H11" s="55">
        <f t="shared" si="0"/>
        <v>199</v>
      </c>
      <c r="J11" s="56"/>
      <c r="K11" s="57"/>
      <c r="L11" s="57"/>
      <c r="M11" s="58" t="s">
        <v>32</v>
      </c>
      <c r="O11" t="str">
        <f t="shared" si="1"/>
        <v>199.000</v>
      </c>
    </row>
    <row r="12" spans="1:15" x14ac:dyDescent="0.4">
      <c r="A12" s="54" t="s">
        <v>133</v>
      </c>
      <c r="B12" s="54" t="s">
        <v>121</v>
      </c>
      <c r="C12" s="54" t="s">
        <v>94</v>
      </c>
      <c r="D12" s="54"/>
      <c r="E12" s="54">
        <v>97.11</v>
      </c>
      <c r="F12" s="54">
        <v>97.11</v>
      </c>
      <c r="G12" s="54">
        <v>90</v>
      </c>
      <c r="H12" s="55">
        <f t="shared" si="0"/>
        <v>87.399000000000001</v>
      </c>
      <c r="J12" s="56"/>
      <c r="K12" s="57"/>
      <c r="L12" s="57"/>
      <c r="M12" s="58" t="s">
        <v>32</v>
      </c>
      <c r="O12" t="str">
        <f t="shared" si="1"/>
        <v>87.399</v>
      </c>
    </row>
    <row r="13" spans="1:15" x14ac:dyDescent="0.4">
      <c r="A13" s="62" t="s">
        <v>138</v>
      </c>
      <c r="B13" s="62" t="s">
        <v>41</v>
      </c>
      <c r="C13" s="62" t="s">
        <v>96</v>
      </c>
      <c r="D13" s="62">
        <v>22</v>
      </c>
      <c r="E13" s="62">
        <v>15.692</v>
      </c>
      <c r="F13" s="62">
        <v>15.692</v>
      </c>
      <c r="G13" s="62">
        <v>92</v>
      </c>
      <c r="H13" s="63">
        <f t="shared" si="0"/>
        <v>14.436640000000001</v>
      </c>
      <c r="J13" s="56">
        <v>45901</v>
      </c>
      <c r="K13" s="57" t="s">
        <v>139</v>
      </c>
      <c r="L13" s="57">
        <v>16635</v>
      </c>
      <c r="M13" s="58" t="s">
        <v>39</v>
      </c>
      <c r="O13" t="str">
        <f t="shared" si="1"/>
        <v>14.437</v>
      </c>
    </row>
    <row r="14" spans="1:15" x14ac:dyDescent="0.4">
      <c r="A14" s="62" t="s">
        <v>138</v>
      </c>
      <c r="B14" s="62" t="s">
        <v>42</v>
      </c>
      <c r="C14" s="62" t="s">
        <v>96</v>
      </c>
      <c r="D14" s="62">
        <v>22</v>
      </c>
      <c r="E14" s="62">
        <v>15.692</v>
      </c>
      <c r="F14" s="62">
        <v>15.692</v>
      </c>
      <c r="G14" s="62">
        <v>92</v>
      </c>
      <c r="H14" s="63">
        <f t="shared" si="0"/>
        <v>14.436640000000001</v>
      </c>
      <c r="J14" s="59">
        <v>45901</v>
      </c>
      <c r="K14" s="57" t="s">
        <v>140</v>
      </c>
      <c r="L14" s="57">
        <v>16635</v>
      </c>
      <c r="M14" s="60" t="s">
        <v>39</v>
      </c>
      <c r="O14" t="str">
        <f t="shared" si="1"/>
        <v>14.437</v>
      </c>
    </row>
    <row r="15" spans="1:15" x14ac:dyDescent="0.4">
      <c r="A15" s="62" t="s">
        <v>138</v>
      </c>
      <c r="B15" s="62" t="s">
        <v>43</v>
      </c>
      <c r="C15" s="62" t="s">
        <v>96</v>
      </c>
      <c r="D15" s="62">
        <v>22</v>
      </c>
      <c r="E15" s="62">
        <v>15.692</v>
      </c>
      <c r="F15" s="62">
        <v>15.692</v>
      </c>
      <c r="G15" s="62">
        <v>92</v>
      </c>
      <c r="H15" s="63">
        <f t="shared" si="0"/>
        <v>14.436640000000001</v>
      </c>
      <c r="J15" s="59">
        <v>45901</v>
      </c>
      <c r="K15" s="57" t="s">
        <v>141</v>
      </c>
      <c r="L15" s="57">
        <v>16635</v>
      </c>
      <c r="M15" s="60" t="s">
        <v>39</v>
      </c>
      <c r="O15" t="str">
        <f t="shared" si="1"/>
        <v>14.437</v>
      </c>
    </row>
    <row r="16" spans="1:15" x14ac:dyDescent="0.4">
      <c r="A16" s="64" t="s">
        <v>138</v>
      </c>
      <c r="B16" s="64" t="s">
        <v>68</v>
      </c>
      <c r="C16" s="64" t="s">
        <v>98</v>
      </c>
      <c r="D16" s="64">
        <v>22</v>
      </c>
      <c r="E16" s="64">
        <v>5.4619999999999997</v>
      </c>
      <c r="F16" s="64">
        <v>5.4619999999999997</v>
      </c>
      <c r="G16" s="64">
        <v>92</v>
      </c>
      <c r="H16" s="65">
        <f t="shared" si="0"/>
        <v>5.0250399999999997</v>
      </c>
      <c r="J16" s="59">
        <v>45884</v>
      </c>
      <c r="K16" s="57" t="s">
        <v>142</v>
      </c>
      <c r="L16" s="57">
        <v>6281</v>
      </c>
      <c r="M16" s="60" t="s">
        <v>39</v>
      </c>
      <c r="O16" t="str">
        <f t="shared" si="1"/>
        <v>5.025</v>
      </c>
    </row>
    <row r="17" spans="1:15" x14ac:dyDescent="0.4">
      <c r="A17" s="64" t="s">
        <v>138</v>
      </c>
      <c r="B17" s="64" t="s">
        <v>69</v>
      </c>
      <c r="C17" s="64" t="s">
        <v>98</v>
      </c>
      <c r="D17" s="64">
        <v>22</v>
      </c>
      <c r="E17" s="64">
        <v>3.5009999999999999</v>
      </c>
      <c r="F17" s="64">
        <v>3.5009999999999999</v>
      </c>
      <c r="G17" s="64">
        <v>92</v>
      </c>
      <c r="H17" s="65">
        <f t="shared" si="0"/>
        <v>3.22092</v>
      </c>
      <c r="J17" s="56">
        <v>45986</v>
      </c>
      <c r="K17" s="57" t="s">
        <v>143</v>
      </c>
      <c r="L17" s="57">
        <v>5546</v>
      </c>
      <c r="M17" s="60" t="s">
        <v>39</v>
      </c>
      <c r="O17" t="str">
        <f t="shared" si="1"/>
        <v>3.221</v>
      </c>
    </row>
    <row r="18" spans="1:15" x14ac:dyDescent="0.4">
      <c r="A18" s="64" t="s">
        <v>144</v>
      </c>
      <c r="B18" s="64" t="s">
        <v>52</v>
      </c>
      <c r="C18" s="64" t="s">
        <v>98</v>
      </c>
      <c r="D18" s="64">
        <v>22</v>
      </c>
      <c r="E18" s="64">
        <v>27.292999999999999</v>
      </c>
      <c r="F18" s="64">
        <v>27.292999999999999</v>
      </c>
      <c r="G18" s="64">
        <v>92</v>
      </c>
      <c r="H18" s="65">
        <f t="shared" si="0"/>
        <v>25.109560000000002</v>
      </c>
      <c r="J18" s="56"/>
      <c r="K18" s="57"/>
      <c r="L18" s="57"/>
      <c r="M18" s="58" t="s">
        <v>32</v>
      </c>
      <c r="O18" t="str">
        <f t="shared" si="1"/>
        <v>25.110</v>
      </c>
    </row>
    <row r="19" spans="1:15" x14ac:dyDescent="0.4">
      <c r="A19" s="64" t="s">
        <v>144</v>
      </c>
      <c r="B19" s="64" t="s">
        <v>49</v>
      </c>
      <c r="C19" s="64" t="s">
        <v>98</v>
      </c>
      <c r="D19" s="64">
        <v>22</v>
      </c>
      <c r="E19" s="64">
        <v>42.445</v>
      </c>
      <c r="F19" s="64">
        <v>42.445</v>
      </c>
      <c r="G19" s="64">
        <v>92</v>
      </c>
      <c r="H19" s="65">
        <f t="shared" si="0"/>
        <v>39.049399999999999</v>
      </c>
      <c r="J19" s="56"/>
      <c r="K19" s="57"/>
      <c r="L19" s="57"/>
      <c r="M19" s="58" t="s">
        <v>32</v>
      </c>
      <c r="O19" t="str">
        <f t="shared" si="1"/>
        <v>39.049</v>
      </c>
    </row>
    <row r="20" spans="1:15" x14ac:dyDescent="0.4">
      <c r="A20" s="64" t="s">
        <v>144</v>
      </c>
      <c r="B20" s="64" t="s">
        <v>50</v>
      </c>
      <c r="C20" s="64" t="s">
        <v>98</v>
      </c>
      <c r="D20" s="64">
        <v>22</v>
      </c>
      <c r="E20" s="64">
        <v>17.213999999999999</v>
      </c>
      <c r="F20" s="64">
        <v>17.213999999999999</v>
      </c>
      <c r="G20" s="64">
        <v>92</v>
      </c>
      <c r="H20" s="65">
        <f t="shared" si="0"/>
        <v>15.836879999999999</v>
      </c>
      <c r="J20" s="56"/>
      <c r="K20" s="57"/>
      <c r="L20" s="57"/>
      <c r="M20" s="58" t="s">
        <v>32</v>
      </c>
      <c r="O20" t="str">
        <f t="shared" si="1"/>
        <v>15.837</v>
      </c>
    </row>
    <row r="21" spans="1:15" x14ac:dyDescent="0.4">
      <c r="A21" s="64" t="s">
        <v>144</v>
      </c>
      <c r="B21" s="64" t="s">
        <v>54</v>
      </c>
      <c r="C21" s="64" t="s">
        <v>98</v>
      </c>
      <c r="D21" s="64">
        <v>22</v>
      </c>
      <c r="E21" s="64">
        <v>25.231000000000002</v>
      </c>
      <c r="F21" s="64">
        <v>25.231000000000002</v>
      </c>
      <c r="G21" s="64">
        <v>92</v>
      </c>
      <c r="H21" s="65">
        <f t="shared" si="0"/>
        <v>23.212520000000001</v>
      </c>
      <c r="J21" s="59">
        <v>46017</v>
      </c>
      <c r="K21" s="57" t="s">
        <v>145</v>
      </c>
      <c r="L21" s="57">
        <v>48205</v>
      </c>
      <c r="M21" s="60" t="s">
        <v>39</v>
      </c>
      <c r="O21" t="str">
        <f t="shared" si="1"/>
        <v>23.213</v>
      </c>
    </row>
    <row r="22" spans="1:15" x14ac:dyDescent="0.4">
      <c r="A22" s="64" t="s">
        <v>144</v>
      </c>
      <c r="B22" s="64" t="s">
        <v>59</v>
      </c>
      <c r="C22" s="64" t="s">
        <v>98</v>
      </c>
      <c r="D22" s="64">
        <v>22</v>
      </c>
      <c r="E22" s="64">
        <v>30.881</v>
      </c>
      <c r="F22" s="64">
        <v>30.881</v>
      </c>
      <c r="G22" s="64">
        <v>92</v>
      </c>
      <c r="H22" s="65">
        <f t="shared" si="0"/>
        <v>28.410520000000002</v>
      </c>
      <c r="J22" s="56"/>
      <c r="K22" s="57"/>
      <c r="L22" s="57"/>
      <c r="M22" s="58" t="s">
        <v>32</v>
      </c>
      <c r="O22" t="str">
        <f t="shared" si="1"/>
        <v>28.411</v>
      </c>
    </row>
    <row r="23" spans="1:15" x14ac:dyDescent="0.4">
      <c r="A23" s="64" t="s">
        <v>144</v>
      </c>
      <c r="B23" s="64" t="s">
        <v>60</v>
      </c>
      <c r="C23" s="64" t="s">
        <v>98</v>
      </c>
      <c r="D23" s="64">
        <v>22</v>
      </c>
      <c r="E23" s="64">
        <v>12.442</v>
      </c>
      <c r="F23" s="64">
        <v>12.442</v>
      </c>
      <c r="G23" s="64">
        <v>92</v>
      </c>
      <c r="H23" s="65">
        <f t="shared" si="0"/>
        <v>11.44664</v>
      </c>
      <c r="J23" s="56"/>
      <c r="K23" s="57"/>
      <c r="L23" s="57"/>
      <c r="M23" s="58" t="s">
        <v>32</v>
      </c>
      <c r="O23" t="str">
        <f t="shared" si="1"/>
        <v>11.447</v>
      </c>
    </row>
    <row r="24" spans="1:15" x14ac:dyDescent="0.4">
      <c r="A24" s="64" t="s">
        <v>144</v>
      </c>
      <c r="B24" s="64" t="s">
        <v>46</v>
      </c>
      <c r="C24" s="64" t="s">
        <v>98</v>
      </c>
      <c r="D24" s="64">
        <v>22</v>
      </c>
      <c r="E24" s="64">
        <v>51.674999999999997</v>
      </c>
      <c r="F24" s="64">
        <v>51.674999999999997</v>
      </c>
      <c r="G24" s="64">
        <v>92</v>
      </c>
      <c r="H24" s="65">
        <f t="shared" si="0"/>
        <v>47.540999999999997</v>
      </c>
      <c r="J24" s="56"/>
      <c r="K24" s="57"/>
      <c r="L24" s="57"/>
      <c r="M24" s="58" t="s">
        <v>32</v>
      </c>
      <c r="O24" t="str">
        <f t="shared" si="1"/>
        <v>47.541</v>
      </c>
    </row>
    <row r="25" spans="1:15" x14ac:dyDescent="0.4">
      <c r="A25" s="64" t="s">
        <v>144</v>
      </c>
      <c r="B25" s="64" t="s">
        <v>45</v>
      </c>
      <c r="C25" s="64" t="s">
        <v>98</v>
      </c>
      <c r="D25" s="64">
        <v>22</v>
      </c>
      <c r="E25" s="64">
        <v>35.527999999999999</v>
      </c>
      <c r="F25" s="64">
        <v>32.527999999999999</v>
      </c>
      <c r="G25" s="64">
        <v>92</v>
      </c>
      <c r="H25" s="65">
        <f t="shared" si="0"/>
        <v>29.92576</v>
      </c>
      <c r="J25" s="56"/>
      <c r="K25" s="57"/>
      <c r="L25" s="57"/>
      <c r="M25" s="58" t="s">
        <v>32</v>
      </c>
      <c r="O25" t="str">
        <f t="shared" si="1"/>
        <v>29.926</v>
      </c>
    </row>
    <row r="26" spans="1:15" x14ac:dyDescent="0.4">
      <c r="A26" s="64" t="s">
        <v>144</v>
      </c>
      <c r="B26" s="64" t="s">
        <v>44</v>
      </c>
      <c r="C26" s="64" t="s">
        <v>98</v>
      </c>
      <c r="D26" s="64">
        <v>22</v>
      </c>
      <c r="E26" s="64">
        <v>32.886000000000003</v>
      </c>
      <c r="F26" s="64">
        <v>32.886000000000003</v>
      </c>
      <c r="G26" s="64">
        <v>92</v>
      </c>
      <c r="H26" s="65">
        <f t="shared" si="0"/>
        <v>30.255120000000005</v>
      </c>
      <c r="J26" s="56"/>
      <c r="K26" s="57"/>
      <c r="L26" s="57"/>
      <c r="M26" s="58" t="s">
        <v>32</v>
      </c>
      <c r="O26" t="str">
        <f t="shared" si="1"/>
        <v>30.255</v>
      </c>
    </row>
    <row r="27" spans="1:15" x14ac:dyDescent="0.4">
      <c r="A27" s="64" t="s">
        <v>144</v>
      </c>
      <c r="B27" s="64" t="s">
        <v>53</v>
      </c>
      <c r="C27" s="64" t="s">
        <v>98</v>
      </c>
      <c r="D27" s="64">
        <v>22</v>
      </c>
      <c r="E27" s="64">
        <v>22.321000000000002</v>
      </c>
      <c r="F27" s="64">
        <v>22.321000000000002</v>
      </c>
      <c r="G27" s="64">
        <v>92</v>
      </c>
      <c r="H27" s="65">
        <f t="shared" si="0"/>
        <v>20.535320000000002</v>
      </c>
      <c r="J27" s="56"/>
      <c r="K27" s="57"/>
      <c r="L27" s="57"/>
      <c r="M27" s="58" t="s">
        <v>32</v>
      </c>
      <c r="O27" t="str">
        <f t="shared" si="1"/>
        <v>20.535</v>
      </c>
    </row>
    <row r="28" spans="1:15" x14ac:dyDescent="0.4">
      <c r="A28" s="64" t="s">
        <v>144</v>
      </c>
      <c r="B28" s="64" t="s">
        <v>58</v>
      </c>
      <c r="C28" s="64" t="s">
        <v>98</v>
      </c>
      <c r="D28" s="64">
        <v>22</v>
      </c>
      <c r="E28" s="64">
        <v>11.032</v>
      </c>
      <c r="F28" s="64">
        <v>10.882</v>
      </c>
      <c r="G28" s="64">
        <v>88</v>
      </c>
      <c r="H28" s="65">
        <f t="shared" si="0"/>
        <v>9.5761599999999998</v>
      </c>
      <c r="J28" s="56"/>
      <c r="K28" s="57"/>
      <c r="L28" s="57"/>
      <c r="M28" s="58" t="s">
        <v>32</v>
      </c>
      <c r="O28" t="str">
        <f t="shared" si="1"/>
        <v>9.576</v>
      </c>
    </row>
    <row r="29" spans="1:15" x14ac:dyDescent="0.4">
      <c r="A29" s="64" t="s">
        <v>144</v>
      </c>
      <c r="B29" s="64" t="s">
        <v>55</v>
      </c>
      <c r="C29" s="64" t="s">
        <v>98</v>
      </c>
      <c r="D29" s="64">
        <v>22</v>
      </c>
      <c r="E29" s="64">
        <v>18.646000000000001</v>
      </c>
      <c r="F29" s="64">
        <v>18.646000000000001</v>
      </c>
      <c r="G29" s="64">
        <v>92</v>
      </c>
      <c r="H29" s="65">
        <f t="shared" si="0"/>
        <v>17.154320000000002</v>
      </c>
      <c r="J29" s="56"/>
      <c r="K29" s="57"/>
      <c r="L29" s="57"/>
      <c r="M29" s="58" t="s">
        <v>32</v>
      </c>
      <c r="O29" t="str">
        <f t="shared" si="1"/>
        <v>17.154</v>
      </c>
    </row>
    <row r="30" spans="1:15" x14ac:dyDescent="0.4">
      <c r="A30" s="64" t="s">
        <v>144</v>
      </c>
      <c r="B30" s="64" t="s">
        <v>51</v>
      </c>
      <c r="C30" s="64" t="s">
        <v>98</v>
      </c>
      <c r="D30" s="64">
        <v>22</v>
      </c>
      <c r="E30" s="64">
        <v>22.623999999999999</v>
      </c>
      <c r="F30" s="64">
        <v>22.623999999999999</v>
      </c>
      <c r="G30" s="64">
        <v>92</v>
      </c>
      <c r="H30" s="65">
        <f t="shared" si="0"/>
        <v>20.814080000000001</v>
      </c>
      <c r="J30" s="56"/>
      <c r="K30" s="57"/>
      <c r="L30" s="57"/>
      <c r="M30" s="58" t="s">
        <v>32</v>
      </c>
      <c r="O30" t="str">
        <f t="shared" si="1"/>
        <v>20.814</v>
      </c>
    </row>
    <row r="31" spans="1:15" x14ac:dyDescent="0.4">
      <c r="A31" s="64" t="s">
        <v>144</v>
      </c>
      <c r="B31" s="64" t="s">
        <v>48</v>
      </c>
      <c r="C31" s="64" t="s">
        <v>98</v>
      </c>
      <c r="D31" s="64">
        <v>22</v>
      </c>
      <c r="E31" s="64">
        <v>15.721</v>
      </c>
      <c r="F31" s="64">
        <v>15.721</v>
      </c>
      <c r="G31" s="64">
        <v>92</v>
      </c>
      <c r="H31" s="65">
        <f t="shared" si="0"/>
        <v>14.463320000000001</v>
      </c>
      <c r="J31" s="56"/>
      <c r="K31" s="57"/>
      <c r="L31" s="57"/>
      <c r="M31" s="58" t="s">
        <v>32</v>
      </c>
      <c r="O31" t="str">
        <f t="shared" si="1"/>
        <v>14.463</v>
      </c>
    </row>
    <row r="32" spans="1:15" x14ac:dyDescent="0.4">
      <c r="A32" s="64" t="s">
        <v>144</v>
      </c>
      <c r="B32" s="64" t="s">
        <v>56</v>
      </c>
      <c r="C32" s="64" t="s">
        <v>98</v>
      </c>
      <c r="D32" s="64">
        <v>22</v>
      </c>
      <c r="E32" s="64">
        <v>33.417999999999999</v>
      </c>
      <c r="F32" s="64">
        <v>33.417999999999999</v>
      </c>
      <c r="G32" s="64">
        <v>92</v>
      </c>
      <c r="H32" s="65">
        <f t="shared" si="0"/>
        <v>30.74456</v>
      </c>
      <c r="J32" s="59">
        <v>46042</v>
      </c>
      <c r="K32" s="57" t="s">
        <v>146</v>
      </c>
      <c r="L32" s="57">
        <v>58588</v>
      </c>
      <c r="M32" s="60" t="s">
        <v>39</v>
      </c>
      <c r="O32" t="str">
        <f t="shared" si="1"/>
        <v>30.745</v>
      </c>
    </row>
    <row r="33" spans="1:15" x14ac:dyDescent="0.4">
      <c r="A33" s="64" t="s">
        <v>144</v>
      </c>
      <c r="B33" s="64" t="s">
        <v>47</v>
      </c>
      <c r="C33" s="64" t="s">
        <v>98</v>
      </c>
      <c r="D33" s="64">
        <v>22</v>
      </c>
      <c r="E33" s="64">
        <v>25.158000000000001</v>
      </c>
      <c r="F33" s="64">
        <v>25.158000000000001</v>
      </c>
      <c r="G33" s="64">
        <v>92</v>
      </c>
      <c r="H33" s="65">
        <f t="shared" si="0"/>
        <v>23.145360000000004</v>
      </c>
      <c r="J33" s="56"/>
      <c r="K33" s="57"/>
      <c r="L33" s="57"/>
      <c r="M33" s="58" t="s">
        <v>32</v>
      </c>
      <c r="O33" t="str">
        <f t="shared" si="1"/>
        <v>23.145</v>
      </c>
    </row>
    <row r="34" spans="1:15" x14ac:dyDescent="0.4">
      <c r="A34" s="64" t="s">
        <v>144</v>
      </c>
      <c r="B34" s="64" t="s">
        <v>57</v>
      </c>
      <c r="C34" s="64" t="s">
        <v>98</v>
      </c>
      <c r="D34" s="64">
        <v>22</v>
      </c>
      <c r="E34" s="64">
        <v>30.626999999999999</v>
      </c>
      <c r="F34" s="64">
        <v>30.626999999999999</v>
      </c>
      <c r="G34" s="64">
        <v>92</v>
      </c>
      <c r="H34" s="65">
        <f t="shared" si="0"/>
        <v>28.176839999999999</v>
      </c>
      <c r="J34" s="59">
        <v>46049</v>
      </c>
      <c r="K34" s="57" t="s">
        <v>147</v>
      </c>
      <c r="L34" s="57">
        <v>43934</v>
      </c>
      <c r="M34" s="60" t="s">
        <v>39</v>
      </c>
      <c r="O34" t="str">
        <f t="shared" si="1"/>
        <v>28.177</v>
      </c>
    </row>
    <row r="35" spans="1:15" x14ac:dyDescent="0.4">
      <c r="A35" s="64" t="s">
        <v>144</v>
      </c>
      <c r="B35" s="64" t="s">
        <v>31</v>
      </c>
      <c r="C35" s="64" t="s">
        <v>98</v>
      </c>
      <c r="D35" s="64">
        <v>18</v>
      </c>
      <c r="E35" s="64">
        <v>3.3759999999999999</v>
      </c>
      <c r="F35" s="64">
        <v>3.3759999999999999</v>
      </c>
      <c r="G35" s="64">
        <v>76</v>
      </c>
      <c r="H35" s="65">
        <f t="shared" si="0"/>
        <v>2.56576</v>
      </c>
      <c r="J35" s="56"/>
      <c r="K35" s="57"/>
      <c r="L35" s="57"/>
      <c r="M35" s="58" t="s">
        <v>32</v>
      </c>
      <c r="O35" t="str">
        <f t="shared" si="1"/>
        <v>2.566</v>
      </c>
    </row>
    <row r="36" spans="1:15" x14ac:dyDescent="0.4">
      <c r="A36" s="64" t="s">
        <v>144</v>
      </c>
      <c r="B36" s="64" t="s">
        <v>66</v>
      </c>
      <c r="C36" s="64" t="s">
        <v>98</v>
      </c>
      <c r="D36" s="64">
        <v>22</v>
      </c>
      <c r="E36" s="64">
        <v>2.2669999999999999</v>
      </c>
      <c r="F36" s="64">
        <v>2.2669999999999999</v>
      </c>
      <c r="G36" s="64">
        <v>92</v>
      </c>
      <c r="H36" s="65">
        <f t="shared" si="0"/>
        <v>2.0856400000000002</v>
      </c>
      <c r="J36" s="56"/>
      <c r="K36" s="57"/>
      <c r="L36" s="57"/>
      <c r="M36" s="58" t="s">
        <v>32</v>
      </c>
      <c r="O36" t="str">
        <f t="shared" si="1"/>
        <v>2.086</v>
      </c>
    </row>
    <row r="37" spans="1:15" x14ac:dyDescent="0.4">
      <c r="A37" s="64" t="s">
        <v>144</v>
      </c>
      <c r="B37" s="64" t="s">
        <v>65</v>
      </c>
      <c r="C37" s="64" t="s">
        <v>98</v>
      </c>
      <c r="D37" s="64">
        <v>21</v>
      </c>
      <c r="E37" s="64">
        <v>1.052</v>
      </c>
      <c r="F37" s="64">
        <v>1.052</v>
      </c>
      <c r="G37" s="64">
        <v>88</v>
      </c>
      <c r="H37" s="65">
        <f t="shared" si="0"/>
        <v>0.92576000000000003</v>
      </c>
      <c r="J37" s="59">
        <v>45968</v>
      </c>
      <c r="K37" s="57" t="s">
        <v>148</v>
      </c>
      <c r="L37" s="57">
        <v>1450</v>
      </c>
      <c r="M37" s="60" t="s">
        <v>39</v>
      </c>
      <c r="O37" t="str">
        <f t="shared" si="1"/>
        <v>0.926</v>
      </c>
    </row>
    <row r="38" spans="1:15" x14ac:dyDescent="0.4">
      <c r="A38" s="64" t="s">
        <v>144</v>
      </c>
      <c r="B38" s="64" t="s">
        <v>64</v>
      </c>
      <c r="C38" s="64" t="s">
        <v>98</v>
      </c>
      <c r="D38" s="64">
        <v>21</v>
      </c>
      <c r="E38" s="64">
        <v>0.99299999999999999</v>
      </c>
      <c r="F38" s="64">
        <v>0.99299999999999999</v>
      </c>
      <c r="G38" s="64">
        <v>88</v>
      </c>
      <c r="H38" s="65">
        <f t="shared" si="0"/>
        <v>0.87383999999999995</v>
      </c>
      <c r="J38" s="56"/>
      <c r="K38" s="57"/>
      <c r="L38" s="57"/>
      <c r="M38" s="58" t="s">
        <v>32</v>
      </c>
      <c r="O38" t="str">
        <f t="shared" si="1"/>
        <v>0.874</v>
      </c>
    </row>
    <row r="39" spans="1:15" x14ac:dyDescent="0.4">
      <c r="A39" s="64" t="s">
        <v>144</v>
      </c>
      <c r="B39" s="64" t="s">
        <v>63</v>
      </c>
      <c r="C39" s="64" t="s">
        <v>98</v>
      </c>
      <c r="D39" s="64">
        <v>22</v>
      </c>
      <c r="E39" s="64">
        <v>2.093</v>
      </c>
      <c r="F39" s="64">
        <v>2.093</v>
      </c>
      <c r="G39" s="64">
        <v>92</v>
      </c>
      <c r="H39" s="65">
        <f t="shared" si="0"/>
        <v>1.9255600000000002</v>
      </c>
      <c r="J39" s="59">
        <v>46039</v>
      </c>
      <c r="K39" s="57" t="s">
        <v>149</v>
      </c>
      <c r="L39" s="57">
        <v>3010</v>
      </c>
      <c r="M39" s="60" t="s">
        <v>39</v>
      </c>
      <c r="O39" t="str">
        <f t="shared" si="1"/>
        <v>1.926</v>
      </c>
    </row>
    <row r="40" spans="1:15" x14ac:dyDescent="0.4">
      <c r="A40" s="64" t="s">
        <v>144</v>
      </c>
      <c r="B40" s="64" t="s">
        <v>62</v>
      </c>
      <c r="C40" s="64" t="s">
        <v>98</v>
      </c>
      <c r="D40" s="64">
        <v>22</v>
      </c>
      <c r="E40" s="64">
        <v>2.2890000000000001</v>
      </c>
      <c r="F40" s="64">
        <v>2.2890000000000001</v>
      </c>
      <c r="G40" s="64">
        <v>92</v>
      </c>
      <c r="H40" s="65">
        <f t="shared" si="0"/>
        <v>2.1058800000000004</v>
      </c>
      <c r="J40" s="56"/>
      <c r="K40" s="57"/>
      <c r="L40" s="57"/>
      <c r="M40" s="58" t="s">
        <v>32</v>
      </c>
      <c r="O40" t="str">
        <f t="shared" si="1"/>
        <v>2.106</v>
      </c>
    </row>
    <row r="41" spans="1:15" x14ac:dyDescent="0.4">
      <c r="A41" s="64" t="s">
        <v>144</v>
      </c>
      <c r="B41" s="64" t="s">
        <v>67</v>
      </c>
      <c r="C41" s="64" t="s">
        <v>98</v>
      </c>
      <c r="D41" s="64">
        <v>22</v>
      </c>
      <c r="E41" s="64">
        <v>2.1789999999999998</v>
      </c>
      <c r="F41" s="64">
        <v>2.1789999999999998</v>
      </c>
      <c r="G41" s="64">
        <v>92</v>
      </c>
      <c r="H41" s="65">
        <f t="shared" si="0"/>
        <v>2.00468</v>
      </c>
      <c r="J41" s="59">
        <v>46350</v>
      </c>
      <c r="K41" s="57" t="s">
        <v>150</v>
      </c>
      <c r="L41" s="57">
        <v>2966</v>
      </c>
      <c r="M41" s="60" t="s">
        <v>39</v>
      </c>
      <c r="O41" t="str">
        <f t="shared" si="1"/>
        <v>2.005</v>
      </c>
    </row>
    <row r="42" spans="1:15" x14ac:dyDescent="0.4">
      <c r="A42" s="64" t="s">
        <v>144</v>
      </c>
      <c r="B42" s="64" t="s">
        <v>73</v>
      </c>
      <c r="C42" s="64" t="s">
        <v>98</v>
      </c>
      <c r="D42" s="64">
        <v>18</v>
      </c>
      <c r="E42" s="64">
        <v>1.577</v>
      </c>
      <c r="F42" s="64">
        <v>1.577</v>
      </c>
      <c r="G42" s="64">
        <v>76</v>
      </c>
      <c r="H42" s="65">
        <f t="shared" si="0"/>
        <v>1.19852</v>
      </c>
      <c r="J42" s="59">
        <v>46050</v>
      </c>
      <c r="K42" s="57" t="s">
        <v>151</v>
      </c>
      <c r="L42" s="57">
        <v>4557</v>
      </c>
      <c r="M42" s="60" t="s">
        <v>39</v>
      </c>
      <c r="O42" t="str">
        <f t="shared" si="1"/>
        <v>1.199</v>
      </c>
    </row>
    <row r="43" spans="1:15" x14ac:dyDescent="0.4">
      <c r="A43" s="64" t="s">
        <v>144</v>
      </c>
      <c r="B43" s="64" t="s">
        <v>72</v>
      </c>
      <c r="C43" s="64" t="s">
        <v>98</v>
      </c>
      <c r="D43" s="64">
        <v>20</v>
      </c>
      <c r="E43" s="64">
        <v>2.883</v>
      </c>
      <c r="F43" s="64">
        <v>2.883</v>
      </c>
      <c r="G43" s="64">
        <v>84</v>
      </c>
      <c r="H43" s="65">
        <f t="shared" si="0"/>
        <v>2.4217200000000001</v>
      </c>
      <c r="J43" s="56"/>
      <c r="K43" s="57"/>
      <c r="L43" s="57"/>
      <c r="M43" s="58" t="s">
        <v>32</v>
      </c>
      <c r="O43" t="str">
        <f t="shared" si="1"/>
        <v>2.422</v>
      </c>
    </row>
    <row r="44" spans="1:15" x14ac:dyDescent="0.4">
      <c r="A44" s="64" t="s">
        <v>144</v>
      </c>
      <c r="B44" s="64" t="s">
        <v>71</v>
      </c>
      <c r="C44" s="64" t="s">
        <v>98</v>
      </c>
      <c r="D44" s="64">
        <v>22</v>
      </c>
      <c r="E44" s="64">
        <v>3.23</v>
      </c>
      <c r="F44" s="64">
        <v>3.23</v>
      </c>
      <c r="G44" s="64">
        <v>92</v>
      </c>
      <c r="H44" s="65">
        <f t="shared" si="0"/>
        <v>2.9716</v>
      </c>
      <c r="J44" s="59">
        <v>45972</v>
      </c>
      <c r="K44" s="57" t="s">
        <v>152</v>
      </c>
      <c r="L44" s="57">
        <v>4812</v>
      </c>
      <c r="M44" s="60" t="s">
        <v>39</v>
      </c>
      <c r="O44" t="str">
        <f t="shared" si="1"/>
        <v>2.972</v>
      </c>
    </row>
    <row r="45" spans="1:15" x14ac:dyDescent="0.4">
      <c r="A45" s="64" t="s">
        <v>144</v>
      </c>
      <c r="B45" s="64" t="s">
        <v>70</v>
      </c>
      <c r="C45" s="64" t="s">
        <v>98</v>
      </c>
      <c r="D45" s="64">
        <v>22</v>
      </c>
      <c r="E45" s="64">
        <v>4.431</v>
      </c>
      <c r="F45" s="64">
        <v>4.431</v>
      </c>
      <c r="G45" s="64">
        <v>92</v>
      </c>
      <c r="H45" s="65">
        <f t="shared" si="0"/>
        <v>4.0765200000000004</v>
      </c>
      <c r="J45" s="59">
        <v>46003</v>
      </c>
      <c r="K45" s="57" t="s">
        <v>153</v>
      </c>
      <c r="L45" s="57">
        <v>7090</v>
      </c>
      <c r="M45" s="60" t="s">
        <v>39</v>
      </c>
      <c r="O45" t="str">
        <f t="shared" si="1"/>
        <v>4.077</v>
      </c>
    </row>
    <row r="46" spans="1:15" x14ac:dyDescent="0.4">
      <c r="E46" s="83"/>
      <c r="F46" s="83"/>
      <c r="J46" s="66"/>
      <c r="M46" s="67"/>
    </row>
  </sheetData>
  <pageMargins left="0.7" right="0.7" top="0.75" bottom="0.75"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8"/>
  <sheetViews>
    <sheetView showGridLines="0" zoomScaleNormal="100" workbookViewId="0"/>
  </sheetViews>
  <sheetFormatPr defaultColWidth="8.69140625" defaultRowHeight="14.6" x14ac:dyDescent="0.4"/>
  <cols>
    <col min="1" max="1" width="10.23046875" customWidth="1"/>
    <col min="2" max="2" width="10.53515625" customWidth="1"/>
    <col min="4" max="4" width="10.07421875" customWidth="1"/>
    <col min="5" max="5" width="3.53515625" customWidth="1"/>
    <col min="6" max="6" width="6.23046875" customWidth="1"/>
    <col min="8" max="8" width="12.53515625" customWidth="1"/>
    <col min="9" max="10" width="11.53515625" customWidth="1"/>
    <col min="11" max="11" width="10.07421875" customWidth="1"/>
    <col min="12" max="13" width="11.53515625" customWidth="1"/>
  </cols>
  <sheetData>
    <row r="1" spans="1:13" ht="53.25" customHeight="1" x14ac:dyDescent="0.4">
      <c r="A1" s="68" t="s">
        <v>154</v>
      </c>
      <c r="B1" s="69" t="s">
        <v>155</v>
      </c>
      <c r="C1" s="70" t="s">
        <v>156</v>
      </c>
      <c r="D1" s="69" t="s">
        <v>157</v>
      </c>
      <c r="E1" s="69" t="s">
        <v>158</v>
      </c>
      <c r="F1" s="69" t="s">
        <v>159</v>
      </c>
      <c r="G1" s="69" t="s">
        <v>160</v>
      </c>
      <c r="H1" s="69" t="s">
        <v>197</v>
      </c>
      <c r="I1" s="69" t="s">
        <v>162</v>
      </c>
      <c r="J1" s="69" t="s">
        <v>163</v>
      </c>
      <c r="K1" s="69" t="s">
        <v>164</v>
      </c>
      <c r="L1" s="69" t="s">
        <v>165</v>
      </c>
      <c r="M1" s="69" t="s">
        <v>166</v>
      </c>
    </row>
    <row r="2" spans="1:13" x14ac:dyDescent="0.4">
      <c r="A2" s="57" t="s">
        <v>167</v>
      </c>
      <c r="B2" s="71">
        <v>45757</v>
      </c>
      <c r="C2" s="72">
        <v>46.893000000000001</v>
      </c>
      <c r="D2" s="73">
        <v>9428</v>
      </c>
      <c r="E2" s="74">
        <v>22</v>
      </c>
      <c r="F2" s="57"/>
      <c r="G2" s="75">
        <v>0</v>
      </c>
      <c r="H2" s="76">
        <f t="shared" ref="H2:H17" si="0">C2*D2</f>
        <v>442107.20400000003</v>
      </c>
      <c r="I2" s="76">
        <f>H2*7%</f>
        <v>30947.504280000005</v>
      </c>
      <c r="J2" s="77">
        <f t="shared" ref="J2:J17" si="1">+I2-G2</f>
        <v>30947.504280000005</v>
      </c>
      <c r="K2" s="77">
        <f t="shared" ref="K2:K17" si="2">ROUND(+J2*15%,2)</f>
        <v>4642.13</v>
      </c>
      <c r="L2" s="76">
        <f t="shared" ref="L2:L17" si="3">ROUND(+(J2-K2)*60%,2)</f>
        <v>15783.22</v>
      </c>
      <c r="M2" s="76">
        <f t="shared" ref="M2:M17" si="4">ROUND(+(J2-K2)*40%,2)</f>
        <v>10522.15</v>
      </c>
    </row>
    <row r="3" spans="1:13" x14ac:dyDescent="0.4">
      <c r="A3" s="57" t="s">
        <v>168</v>
      </c>
      <c r="B3" s="93">
        <v>45922</v>
      </c>
      <c r="C3" s="72">
        <v>26.34</v>
      </c>
      <c r="D3" s="73">
        <v>10191</v>
      </c>
      <c r="E3" s="74">
        <v>22</v>
      </c>
      <c r="F3" s="57"/>
      <c r="G3" s="75"/>
      <c r="H3" s="76">
        <f t="shared" si="0"/>
        <v>268430.94</v>
      </c>
      <c r="I3" s="76">
        <f>H3*11%</f>
        <v>29527.403399999999</v>
      </c>
      <c r="J3" s="77">
        <f t="shared" si="1"/>
        <v>29527.403399999999</v>
      </c>
      <c r="K3" s="77">
        <f t="shared" si="2"/>
        <v>4429.1099999999997</v>
      </c>
      <c r="L3" s="76">
        <f t="shared" si="3"/>
        <v>15058.98</v>
      </c>
      <c r="M3" s="76">
        <f t="shared" si="4"/>
        <v>10039.32</v>
      </c>
    </row>
    <row r="4" spans="1:13" x14ac:dyDescent="0.4">
      <c r="A4" s="57" t="s">
        <v>169</v>
      </c>
      <c r="B4" s="93">
        <v>45878</v>
      </c>
      <c r="C4" s="72">
        <v>29.302</v>
      </c>
      <c r="D4" s="73">
        <v>9333</v>
      </c>
      <c r="E4" s="74">
        <v>22</v>
      </c>
      <c r="F4" s="57"/>
      <c r="G4" s="75"/>
      <c r="H4" s="76">
        <f t="shared" si="0"/>
        <v>273475.56599999999</v>
      </c>
      <c r="I4" s="76">
        <f>H4*8%</f>
        <v>21878.045279999998</v>
      </c>
      <c r="J4" s="77">
        <f t="shared" si="1"/>
        <v>21878.045279999998</v>
      </c>
      <c r="K4" s="77">
        <f t="shared" si="2"/>
        <v>3281.71</v>
      </c>
      <c r="L4" s="76">
        <f t="shared" si="3"/>
        <v>11157.8</v>
      </c>
      <c r="M4" s="76">
        <f t="shared" si="4"/>
        <v>7438.53</v>
      </c>
    </row>
    <row r="5" spans="1:13" x14ac:dyDescent="0.4">
      <c r="A5" s="57" t="s">
        <v>170</v>
      </c>
      <c r="B5" s="93">
        <v>46093</v>
      </c>
      <c r="C5" s="72">
        <v>3.589</v>
      </c>
      <c r="D5" s="73">
        <v>14764</v>
      </c>
      <c r="E5" s="74">
        <v>22</v>
      </c>
      <c r="F5" s="57"/>
      <c r="G5" s="75"/>
      <c r="H5" s="76">
        <f t="shared" si="0"/>
        <v>52987.995999999999</v>
      </c>
      <c r="I5" s="76">
        <f>H5*13%</f>
        <v>6888.43948</v>
      </c>
      <c r="J5" s="77">
        <f t="shared" si="1"/>
        <v>6888.43948</v>
      </c>
      <c r="K5" s="77">
        <f t="shared" si="2"/>
        <v>1033.27</v>
      </c>
      <c r="L5" s="76">
        <f t="shared" si="3"/>
        <v>3513.1</v>
      </c>
      <c r="M5" s="76">
        <f t="shared" si="4"/>
        <v>2342.0700000000002</v>
      </c>
    </row>
    <row r="6" spans="1:13" x14ac:dyDescent="0.4">
      <c r="A6" s="57" t="s">
        <v>171</v>
      </c>
      <c r="B6" s="93">
        <v>45901</v>
      </c>
      <c r="C6" s="72">
        <v>47.076000000000001</v>
      </c>
      <c r="D6" s="73">
        <v>9637</v>
      </c>
      <c r="E6" s="74">
        <v>22</v>
      </c>
      <c r="F6" s="57"/>
      <c r="G6" s="75"/>
      <c r="H6" s="76">
        <f t="shared" si="0"/>
        <v>453671.41200000001</v>
      </c>
      <c r="I6" s="76">
        <f>H6*11%</f>
        <v>49903.855320000002</v>
      </c>
      <c r="J6" s="77">
        <f t="shared" si="1"/>
        <v>49903.855320000002</v>
      </c>
      <c r="K6" s="77">
        <f t="shared" si="2"/>
        <v>7485.58</v>
      </c>
      <c r="L6" s="76">
        <f t="shared" si="3"/>
        <v>25450.97</v>
      </c>
      <c r="M6" s="76">
        <f t="shared" si="4"/>
        <v>16967.310000000001</v>
      </c>
    </row>
    <row r="7" spans="1:13" x14ac:dyDescent="0.4">
      <c r="A7" s="57" t="s">
        <v>172</v>
      </c>
      <c r="B7" s="93">
        <v>45884</v>
      </c>
      <c r="C7" s="72">
        <v>5.4619999999999997</v>
      </c>
      <c r="D7" s="73">
        <v>9200</v>
      </c>
      <c r="E7" s="74">
        <v>22</v>
      </c>
      <c r="F7" s="57"/>
      <c r="G7" s="75"/>
      <c r="H7" s="76">
        <f t="shared" si="0"/>
        <v>50250.399999999994</v>
      </c>
      <c r="I7" s="76">
        <f>H7*12.5%</f>
        <v>6281.2999999999993</v>
      </c>
      <c r="J7" s="77">
        <f t="shared" si="1"/>
        <v>6281.2999999999993</v>
      </c>
      <c r="K7" s="77">
        <f t="shared" si="2"/>
        <v>942.2</v>
      </c>
      <c r="L7" s="76">
        <f t="shared" si="3"/>
        <v>3203.46</v>
      </c>
      <c r="M7" s="76">
        <f t="shared" si="4"/>
        <v>2135.64</v>
      </c>
    </row>
    <row r="8" spans="1:13" x14ac:dyDescent="0.4">
      <c r="A8" s="57" t="s">
        <v>173</v>
      </c>
      <c r="B8" s="93">
        <v>45986</v>
      </c>
      <c r="C8" s="72">
        <v>3.5009999999999999</v>
      </c>
      <c r="D8" s="73">
        <v>11316</v>
      </c>
      <c r="E8" s="74">
        <v>22</v>
      </c>
      <c r="F8" s="57"/>
      <c r="G8" s="75"/>
      <c r="H8" s="76">
        <f t="shared" si="0"/>
        <v>39617.315999999999</v>
      </c>
      <c r="I8" s="76">
        <f>H8*14%</f>
        <v>5546.4242400000003</v>
      </c>
      <c r="J8" s="77">
        <f t="shared" si="1"/>
        <v>5546.4242400000003</v>
      </c>
      <c r="K8" s="77">
        <f t="shared" si="2"/>
        <v>831.96</v>
      </c>
      <c r="L8" s="76">
        <f t="shared" si="3"/>
        <v>2828.68</v>
      </c>
      <c r="M8" s="76">
        <f t="shared" si="4"/>
        <v>1885.79</v>
      </c>
    </row>
    <row r="9" spans="1:13" x14ac:dyDescent="0.4">
      <c r="A9" s="57" t="s">
        <v>174</v>
      </c>
      <c r="B9" s="93">
        <v>46017</v>
      </c>
      <c r="C9" s="72">
        <v>25.231000000000002</v>
      </c>
      <c r="D9" s="73">
        <v>12737</v>
      </c>
      <c r="E9" s="74">
        <v>22</v>
      </c>
      <c r="F9" s="57"/>
      <c r="G9" s="75"/>
      <c r="H9" s="76">
        <f t="shared" si="0"/>
        <v>321367.24700000003</v>
      </c>
      <c r="I9" s="76">
        <f>H9*15%</f>
        <v>48205.087050000002</v>
      </c>
      <c r="J9" s="77">
        <f t="shared" si="1"/>
        <v>48205.087050000002</v>
      </c>
      <c r="K9" s="77">
        <f t="shared" si="2"/>
        <v>7230.76</v>
      </c>
      <c r="L9" s="76">
        <f t="shared" si="3"/>
        <v>24584.6</v>
      </c>
      <c r="M9" s="76">
        <f t="shared" si="4"/>
        <v>16389.73</v>
      </c>
    </row>
    <row r="10" spans="1:13" x14ac:dyDescent="0.4">
      <c r="A10" s="57" t="s">
        <v>175</v>
      </c>
      <c r="B10" s="93">
        <v>46053</v>
      </c>
      <c r="C10" s="72">
        <v>33.417999999999999</v>
      </c>
      <c r="D10" s="73">
        <v>13487</v>
      </c>
      <c r="E10" s="74">
        <v>22</v>
      </c>
      <c r="F10" s="57"/>
      <c r="G10" s="75"/>
      <c r="H10" s="76">
        <f t="shared" si="0"/>
        <v>450708.56599999999</v>
      </c>
      <c r="I10" s="76">
        <f>H10*13%</f>
        <v>58592.113579999997</v>
      </c>
      <c r="J10" s="77">
        <f t="shared" si="1"/>
        <v>58592.113579999997</v>
      </c>
      <c r="K10" s="77">
        <f t="shared" si="2"/>
        <v>8788.82</v>
      </c>
      <c r="L10" s="76">
        <f t="shared" si="3"/>
        <v>29881.98</v>
      </c>
      <c r="M10" s="76">
        <f t="shared" si="4"/>
        <v>19921.32</v>
      </c>
    </row>
    <row r="11" spans="1:13" x14ac:dyDescent="0.4">
      <c r="A11" s="57" t="s">
        <v>176</v>
      </c>
      <c r="B11" s="93">
        <v>46049</v>
      </c>
      <c r="C11" s="72">
        <v>30.626999999999999</v>
      </c>
      <c r="D11" s="73">
        <v>15100</v>
      </c>
      <c r="E11" s="74">
        <v>22</v>
      </c>
      <c r="F11" s="57"/>
      <c r="G11" s="75"/>
      <c r="H11" s="76">
        <f t="shared" si="0"/>
        <v>462467.7</v>
      </c>
      <c r="I11" s="76">
        <f>H11*9.5%</f>
        <v>43934.431499999999</v>
      </c>
      <c r="J11" s="77">
        <f t="shared" si="1"/>
        <v>43934.431499999999</v>
      </c>
      <c r="K11" s="77">
        <f t="shared" si="2"/>
        <v>6590.16</v>
      </c>
      <c r="L11" s="76">
        <f t="shared" si="3"/>
        <v>22406.560000000001</v>
      </c>
      <c r="M11" s="76">
        <f t="shared" si="4"/>
        <v>14937.71</v>
      </c>
    </row>
    <row r="12" spans="1:13" x14ac:dyDescent="0.4">
      <c r="A12" s="57" t="s">
        <v>177</v>
      </c>
      <c r="B12" s="93">
        <v>45968</v>
      </c>
      <c r="C12" s="72">
        <v>1.052</v>
      </c>
      <c r="D12" s="73">
        <v>10601</v>
      </c>
      <c r="E12" s="74">
        <v>21</v>
      </c>
      <c r="F12" s="57"/>
      <c r="G12" s="75"/>
      <c r="H12" s="76">
        <f t="shared" si="0"/>
        <v>11152.252</v>
      </c>
      <c r="I12" s="76">
        <f>H12*13%</f>
        <v>1449.79276</v>
      </c>
      <c r="J12" s="77">
        <f t="shared" si="1"/>
        <v>1449.79276</v>
      </c>
      <c r="K12" s="77">
        <f t="shared" si="2"/>
        <v>217.47</v>
      </c>
      <c r="L12" s="76">
        <f t="shared" si="3"/>
        <v>739.39</v>
      </c>
      <c r="M12" s="76">
        <f t="shared" si="4"/>
        <v>492.93</v>
      </c>
    </row>
    <row r="13" spans="1:13" x14ac:dyDescent="0.4">
      <c r="A13" s="57" t="s">
        <v>178</v>
      </c>
      <c r="B13" s="93">
        <v>46039</v>
      </c>
      <c r="C13" s="72">
        <v>2.093</v>
      </c>
      <c r="D13" s="73">
        <v>13075</v>
      </c>
      <c r="E13" s="74">
        <v>22</v>
      </c>
      <c r="F13" s="57"/>
      <c r="G13" s="75"/>
      <c r="H13" s="76">
        <f t="shared" si="0"/>
        <v>27365.974999999999</v>
      </c>
      <c r="I13" s="76">
        <f>H13*11%</f>
        <v>3010.2572499999997</v>
      </c>
      <c r="J13" s="77">
        <f t="shared" si="1"/>
        <v>3010.2572499999997</v>
      </c>
      <c r="K13" s="77">
        <f t="shared" si="2"/>
        <v>451.54</v>
      </c>
      <c r="L13" s="76">
        <f t="shared" si="3"/>
        <v>1535.23</v>
      </c>
      <c r="M13" s="76">
        <f t="shared" si="4"/>
        <v>1023.49</v>
      </c>
    </row>
    <row r="14" spans="1:13" x14ac:dyDescent="0.4">
      <c r="A14" s="57" t="s">
        <v>179</v>
      </c>
      <c r="B14" s="93">
        <v>45985</v>
      </c>
      <c r="C14" s="72">
        <v>2.1789999999999998</v>
      </c>
      <c r="D14" s="73">
        <v>11343</v>
      </c>
      <c r="E14" s="74">
        <v>22</v>
      </c>
      <c r="F14" s="57"/>
      <c r="G14" s="75"/>
      <c r="H14" s="76">
        <f t="shared" si="0"/>
        <v>24716.396999999997</v>
      </c>
      <c r="I14" s="76">
        <f>H14*12%</f>
        <v>2965.9676399999994</v>
      </c>
      <c r="J14" s="77">
        <f t="shared" si="1"/>
        <v>2965.9676399999994</v>
      </c>
      <c r="K14" s="77">
        <f t="shared" si="2"/>
        <v>444.9</v>
      </c>
      <c r="L14" s="76">
        <f t="shared" si="3"/>
        <v>1512.64</v>
      </c>
      <c r="M14" s="76">
        <f t="shared" si="4"/>
        <v>1008.43</v>
      </c>
    </row>
    <row r="15" spans="1:13" x14ac:dyDescent="0.4">
      <c r="A15" s="57" t="s">
        <v>180</v>
      </c>
      <c r="B15" s="93">
        <v>46050</v>
      </c>
      <c r="C15" s="72">
        <v>1.577</v>
      </c>
      <c r="D15" s="73">
        <v>12565</v>
      </c>
      <c r="E15" s="74">
        <v>18</v>
      </c>
      <c r="F15" s="57"/>
      <c r="G15" s="75"/>
      <c r="H15" s="76">
        <f t="shared" si="0"/>
        <v>19815.005000000001</v>
      </c>
      <c r="I15" s="76">
        <f>H15*23%</f>
        <v>4557.4511500000008</v>
      </c>
      <c r="J15" s="77">
        <f t="shared" si="1"/>
        <v>4557.4511500000008</v>
      </c>
      <c r="K15" s="77">
        <f t="shared" si="2"/>
        <v>683.62</v>
      </c>
      <c r="L15" s="76">
        <f t="shared" si="3"/>
        <v>2324.3000000000002</v>
      </c>
      <c r="M15" s="76">
        <f t="shared" si="4"/>
        <v>1549.53</v>
      </c>
    </row>
    <row r="16" spans="1:13" x14ac:dyDescent="0.4">
      <c r="A16" s="57" t="s">
        <v>181</v>
      </c>
      <c r="B16" s="93">
        <v>45972</v>
      </c>
      <c r="C16" s="72">
        <v>3.23</v>
      </c>
      <c r="D16" s="73">
        <v>11459</v>
      </c>
      <c r="E16" s="74">
        <v>22</v>
      </c>
      <c r="F16" s="57"/>
      <c r="G16" s="75"/>
      <c r="H16" s="76">
        <f t="shared" si="0"/>
        <v>37012.57</v>
      </c>
      <c r="I16" s="76">
        <f>H16*13%</f>
        <v>4811.6341000000002</v>
      </c>
      <c r="J16" s="77">
        <f t="shared" si="1"/>
        <v>4811.6341000000002</v>
      </c>
      <c r="K16" s="77">
        <f t="shared" si="2"/>
        <v>721.75</v>
      </c>
      <c r="L16" s="76">
        <f t="shared" si="3"/>
        <v>2453.9299999999998</v>
      </c>
      <c r="M16" s="76">
        <f t="shared" si="4"/>
        <v>1635.95</v>
      </c>
    </row>
    <row r="17" spans="1:13" x14ac:dyDescent="0.4">
      <c r="A17" s="57" t="s">
        <v>182</v>
      </c>
      <c r="B17" s="93">
        <v>46003</v>
      </c>
      <c r="C17" s="72">
        <v>4.431</v>
      </c>
      <c r="D17" s="73">
        <v>12308</v>
      </c>
      <c r="E17" s="74">
        <v>22</v>
      </c>
      <c r="F17" s="57"/>
      <c r="G17" s="75"/>
      <c r="H17" s="76">
        <f t="shared" si="0"/>
        <v>54536.748</v>
      </c>
      <c r="I17" s="76">
        <f>H17*13%</f>
        <v>7089.7772400000003</v>
      </c>
      <c r="J17" s="77">
        <f t="shared" si="1"/>
        <v>7089.7772400000003</v>
      </c>
      <c r="K17" s="77">
        <f t="shared" si="2"/>
        <v>1063.47</v>
      </c>
      <c r="L17" s="76">
        <f t="shared" si="3"/>
        <v>3615.78</v>
      </c>
      <c r="M17" s="76">
        <f t="shared" si="4"/>
        <v>2410.52</v>
      </c>
    </row>
    <row r="18" spans="1:13" x14ac:dyDescent="0.4">
      <c r="A18" s="57" t="s">
        <v>183</v>
      </c>
      <c r="B18" s="57"/>
      <c r="C18" s="57"/>
      <c r="D18" s="57"/>
      <c r="E18" s="57"/>
      <c r="F18" s="57"/>
      <c r="G18" s="57"/>
      <c r="H18" s="77">
        <f t="shared" ref="H18:M18" si="5">SUM(H2:H17)</f>
        <v>2989683.2940000002</v>
      </c>
      <c r="I18" s="77">
        <f t="shared" si="5"/>
        <v>325589.48427000002</v>
      </c>
      <c r="J18" s="77">
        <f t="shared" si="5"/>
        <v>325589.48427000002</v>
      </c>
      <c r="K18" s="77">
        <f t="shared" si="5"/>
        <v>48838.450000000004</v>
      </c>
      <c r="L18" s="97">
        <f t="shared" si="5"/>
        <v>166050.62000000002</v>
      </c>
      <c r="M18" s="77">
        <f t="shared" si="5"/>
        <v>110700.42</v>
      </c>
    </row>
  </sheetData>
  <pageMargins left="0.7" right="0.7" top="0.75" bottom="0.75" header="0.511811023622047" footer="0.511811023622047"/>
  <pageSetup paperSize="9" orientation="landscape" horizontalDpi="300" verticalDpi="300" r:id="rId1"/>
  <ignoredErrors>
    <ignoredError sqref="I11"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17"/>
  <sheetViews>
    <sheetView showGridLines="0" topLeftCell="C1" zoomScale="80" zoomScaleNormal="80" workbookViewId="0">
      <selection activeCell="K3" sqref="K3:K14 K17:K28 K31:K42 K45:K56 K59:K70 K73:K84 K87:K98 K101:K112 K115:K126 K129:K140 K143:K154 K157:K168 K171:K182 K185:K196 K199:K210 K213:K224 K227:K238 K241:K252 K255:K266 K269:K280 K283:K294 K297:K308 K311:K322 K325:K336 K339:K350 K353:K364 K367:K378 K381:K392 K395:K406 K409:K420 K423:K434 K437:K448 K451:K462 K465:K476 K479:K490 K493:K504 K507:K518 K521:K532 K535:K546 K549:K560 K563:K574 K577:K588 K591:K602 K605:K616"/>
    </sheetView>
  </sheetViews>
  <sheetFormatPr defaultColWidth="8.69140625" defaultRowHeight="14.6" x14ac:dyDescent="0.4"/>
  <cols>
    <col min="3" max="3" width="9.3046875" customWidth="1"/>
    <col min="4" max="5" width="8.84375" customWidth="1"/>
    <col min="6" max="7" width="9.3046875" customWidth="1"/>
    <col min="8" max="8" width="10.69140625" bestFit="1" customWidth="1"/>
    <col min="9" max="9" width="10.3828125" bestFit="1" customWidth="1"/>
    <col min="10" max="10" width="3" bestFit="1" customWidth="1"/>
    <col min="11" max="11" width="5.07421875" bestFit="1" customWidth="1"/>
    <col min="12" max="12" width="9.61328125" bestFit="1" customWidth="1"/>
    <col min="13" max="13" width="10.3828125" bestFit="1" customWidth="1"/>
    <col min="14" max="15" width="9.3046875" bestFit="1" customWidth="1"/>
    <col min="16" max="16" width="7.765625" bestFit="1" customWidth="1"/>
    <col min="17" max="17" width="9.3046875" bestFit="1" customWidth="1"/>
    <col min="18" max="18" width="7.765625" bestFit="1" customWidth="1"/>
    <col min="19" max="19" width="6.15234375" bestFit="1" customWidth="1"/>
  </cols>
  <sheetData>
    <row r="1" spans="1:24" x14ac:dyDescent="0.4">
      <c r="G1" s="50">
        <v>46112</v>
      </c>
      <c r="H1" s="78">
        <v>7.0000000000000007E-2</v>
      </c>
      <c r="I1" s="78"/>
      <c r="J1" s="78"/>
    </row>
    <row r="2" spans="1:24" ht="84.75" customHeight="1" x14ac:dyDescent="0.4">
      <c r="A2" s="69" t="s">
        <v>184</v>
      </c>
      <c r="B2" s="69" t="s">
        <v>11</v>
      </c>
      <c r="C2" s="69" t="s">
        <v>155</v>
      </c>
      <c r="D2" s="69" t="s">
        <v>158</v>
      </c>
      <c r="E2" s="69" t="s">
        <v>185</v>
      </c>
      <c r="F2" s="69" t="s">
        <v>186</v>
      </c>
      <c r="G2" s="70" t="s">
        <v>156</v>
      </c>
      <c r="H2" s="69" t="s">
        <v>187</v>
      </c>
      <c r="I2" s="69" t="s">
        <v>188</v>
      </c>
      <c r="J2" s="69" t="s">
        <v>158</v>
      </c>
      <c r="K2" s="69" t="s">
        <v>159</v>
      </c>
      <c r="L2" s="69" t="s">
        <v>160</v>
      </c>
      <c r="M2" s="69" t="s">
        <v>161</v>
      </c>
      <c r="N2" s="69" t="s">
        <v>162</v>
      </c>
      <c r="O2" s="69" t="s">
        <v>163</v>
      </c>
      <c r="P2" s="69" t="s">
        <v>164</v>
      </c>
      <c r="Q2" s="69" t="s">
        <v>165</v>
      </c>
      <c r="R2" s="69" t="s">
        <v>166</v>
      </c>
      <c r="S2" s="69" t="s">
        <v>189</v>
      </c>
      <c r="W2" s="83" t="s">
        <v>196</v>
      </c>
      <c r="X2" s="83"/>
    </row>
    <row r="3" spans="1:24" x14ac:dyDescent="0.4">
      <c r="A3" s="57">
        <v>1</v>
      </c>
      <c r="B3" s="57" t="str">
        <f>INDEX('sale resgister'!B:B,A3+1,1)</f>
        <v>BAN1842</v>
      </c>
      <c r="C3" s="71">
        <f>+VLOOKUP(B3,'sale resgister'!B:J,9,0)</f>
        <v>0</v>
      </c>
      <c r="D3" s="79" t="str">
        <f>+VLOOKUP(B3,'sale resgister'!B:J,2,0)</f>
        <v>Batch 1</v>
      </c>
      <c r="E3" s="96">
        <f>IF(C3=0,0,VLOOKUP(B3,'sale resgister'!B:J,4,0))</f>
        <v>0</v>
      </c>
      <c r="F3" s="71">
        <f>DATE(YEAR(C3),MONTH(C3)+1,1)</f>
        <v>32</v>
      </c>
      <c r="G3" s="72">
        <f>E3</f>
        <v>0</v>
      </c>
      <c r="H3" s="57">
        <f t="shared" ref="H3:H14" si="0">ROUND(+G3*$H$1,3)</f>
        <v>0</v>
      </c>
      <c r="I3" s="73">
        <f>IFERROR(+VLOOKUP(F3,$W$3:$X$15,2,0),0)</f>
        <v>0</v>
      </c>
      <c r="J3" s="74">
        <v>22</v>
      </c>
      <c r="K3" s="57">
        <f>ROUND(+H3*97%,3)</f>
        <v>0</v>
      </c>
      <c r="L3" s="75">
        <f t="shared" ref="L3:L14" si="1">(K3-H3*92%)*I3</f>
        <v>0</v>
      </c>
      <c r="M3" s="76">
        <f t="shared" ref="M3:M14" si="2">ROUND(I3*92%*H3,2)</f>
        <v>0</v>
      </c>
      <c r="N3" s="76">
        <f t="shared" ref="N3:N14" si="3">ROUND(+M3*0.11,2)</f>
        <v>0</v>
      </c>
      <c r="O3" s="77">
        <f t="shared" ref="O3:O14" si="4">+N3-L3</f>
        <v>0</v>
      </c>
      <c r="P3" s="77">
        <f t="shared" ref="P3:P14" si="5">ROUND(+O3*15%,2)</f>
        <v>0</v>
      </c>
      <c r="Q3" s="76">
        <f t="shared" ref="Q3:Q14" si="6">ROUND(+(O3-P3)*60%,2)</f>
        <v>0</v>
      </c>
      <c r="R3" s="76">
        <f t="shared" ref="R3:R14" si="7">ROUND(+(O3-P3)*40%,2)</f>
        <v>0</v>
      </c>
      <c r="S3" s="57">
        <f t="shared" ref="S3:S14" si="8">IFERROR(ROUND(+Q3/(I3/92%),3),0)</f>
        <v>0</v>
      </c>
      <c r="W3" s="103">
        <v>45748</v>
      </c>
      <c r="X3" s="104">
        <v>9370</v>
      </c>
    </row>
    <row r="4" spans="1:24" x14ac:dyDescent="0.4">
      <c r="A4" s="57"/>
      <c r="B4" s="57" t="str">
        <f t="shared" ref="B4:B14" si="9">+B3</f>
        <v>BAN1842</v>
      </c>
      <c r="C4" s="57"/>
      <c r="D4" s="57"/>
      <c r="E4" s="57"/>
      <c r="F4" s="71">
        <f t="shared" ref="F4:F14" si="10">IF(+DATE(YEAR(F3),MONTH(F3)+1,1)&gt;$G$1+1,0,+DATE(YEAR(F3),MONTH(F3)+1,1))</f>
        <v>61</v>
      </c>
      <c r="G4" s="72">
        <f t="shared" ref="G4:G14" si="11">ROUND(IF(F4=0,0,(G3+S3)),3)</f>
        <v>0</v>
      </c>
      <c r="H4" s="57">
        <f t="shared" si="0"/>
        <v>0</v>
      </c>
      <c r="I4" s="73">
        <f t="shared" ref="I4:I14" si="12">IFERROR(+VLOOKUP(F4,$W$3:$X$15,2,0),0)</f>
        <v>0</v>
      </c>
      <c r="J4" s="74">
        <v>22</v>
      </c>
      <c r="K4" s="57">
        <f t="shared" ref="K4:K14" si="13">ROUND(+H4*97%,3)</f>
        <v>0</v>
      </c>
      <c r="L4" s="75">
        <f t="shared" si="1"/>
        <v>0</v>
      </c>
      <c r="M4" s="76">
        <f t="shared" si="2"/>
        <v>0</v>
      </c>
      <c r="N4" s="76">
        <f t="shared" si="3"/>
        <v>0</v>
      </c>
      <c r="O4" s="77">
        <f t="shared" si="4"/>
        <v>0</v>
      </c>
      <c r="P4" s="77">
        <f t="shared" si="5"/>
        <v>0</v>
      </c>
      <c r="Q4" s="76">
        <f t="shared" si="6"/>
        <v>0</v>
      </c>
      <c r="R4" s="76">
        <f t="shared" si="7"/>
        <v>0</v>
      </c>
      <c r="S4" s="57">
        <f t="shared" si="8"/>
        <v>0</v>
      </c>
      <c r="W4" s="103">
        <v>45778</v>
      </c>
      <c r="X4" s="104">
        <v>9953</v>
      </c>
    </row>
    <row r="5" spans="1:24" x14ac:dyDescent="0.4">
      <c r="A5" s="57"/>
      <c r="B5" s="57" t="str">
        <f t="shared" si="9"/>
        <v>BAN1842</v>
      </c>
      <c r="C5" s="57"/>
      <c r="D5" s="57"/>
      <c r="E5" s="71"/>
      <c r="F5" s="71">
        <f t="shared" si="10"/>
        <v>92</v>
      </c>
      <c r="G5" s="72">
        <f t="shared" si="11"/>
        <v>0</v>
      </c>
      <c r="H5" s="57">
        <f t="shared" si="0"/>
        <v>0</v>
      </c>
      <c r="I5" s="73">
        <f t="shared" si="12"/>
        <v>0</v>
      </c>
      <c r="J5" s="74">
        <v>22</v>
      </c>
      <c r="K5" s="57">
        <f t="shared" si="13"/>
        <v>0</v>
      </c>
      <c r="L5" s="75">
        <f t="shared" si="1"/>
        <v>0</v>
      </c>
      <c r="M5" s="76">
        <f t="shared" si="2"/>
        <v>0</v>
      </c>
      <c r="N5" s="76">
        <f t="shared" si="3"/>
        <v>0</v>
      </c>
      <c r="O5" s="77">
        <f t="shared" si="4"/>
        <v>0</v>
      </c>
      <c r="P5" s="77">
        <f t="shared" si="5"/>
        <v>0</v>
      </c>
      <c r="Q5" s="76">
        <f t="shared" si="6"/>
        <v>0</v>
      </c>
      <c r="R5" s="76">
        <f t="shared" si="7"/>
        <v>0</v>
      </c>
      <c r="S5" s="57">
        <f t="shared" si="8"/>
        <v>0</v>
      </c>
      <c r="W5" s="103">
        <v>45809</v>
      </c>
      <c r="X5" s="104">
        <v>9966</v>
      </c>
    </row>
    <row r="6" spans="1:24" x14ac:dyDescent="0.4">
      <c r="A6" s="57"/>
      <c r="B6" s="57" t="str">
        <f t="shared" si="9"/>
        <v>BAN1842</v>
      </c>
      <c r="C6" s="57"/>
      <c r="D6" s="57"/>
      <c r="E6" s="57"/>
      <c r="F6" s="71">
        <f t="shared" si="10"/>
        <v>122</v>
      </c>
      <c r="G6" s="72">
        <f t="shared" si="11"/>
        <v>0</v>
      </c>
      <c r="H6" s="57">
        <f t="shared" si="0"/>
        <v>0</v>
      </c>
      <c r="I6" s="73">
        <f t="shared" si="12"/>
        <v>0</v>
      </c>
      <c r="J6" s="74">
        <v>22</v>
      </c>
      <c r="K6" s="57">
        <f t="shared" si="13"/>
        <v>0</v>
      </c>
      <c r="L6" s="75">
        <f t="shared" si="1"/>
        <v>0</v>
      </c>
      <c r="M6" s="76">
        <f t="shared" si="2"/>
        <v>0</v>
      </c>
      <c r="N6" s="76">
        <f t="shared" si="3"/>
        <v>0</v>
      </c>
      <c r="O6" s="77">
        <f t="shared" si="4"/>
        <v>0</v>
      </c>
      <c r="P6" s="77">
        <f t="shared" si="5"/>
        <v>0</v>
      </c>
      <c r="Q6" s="76">
        <f t="shared" si="6"/>
        <v>0</v>
      </c>
      <c r="R6" s="76">
        <f t="shared" si="7"/>
        <v>0</v>
      </c>
      <c r="S6" s="57">
        <f t="shared" si="8"/>
        <v>0</v>
      </c>
      <c r="W6" s="103">
        <v>45839</v>
      </c>
      <c r="X6" s="104">
        <v>10008</v>
      </c>
    </row>
    <row r="7" spans="1:24" x14ac:dyDescent="0.4">
      <c r="A7" s="57"/>
      <c r="B7" s="57" t="str">
        <f t="shared" si="9"/>
        <v>BAN1842</v>
      </c>
      <c r="C7" s="71"/>
      <c r="D7" s="57"/>
      <c r="E7" s="57"/>
      <c r="F7" s="71">
        <f t="shared" si="10"/>
        <v>153</v>
      </c>
      <c r="G7" s="72">
        <f t="shared" si="11"/>
        <v>0</v>
      </c>
      <c r="H7" s="57">
        <f t="shared" si="0"/>
        <v>0</v>
      </c>
      <c r="I7" s="73">
        <f t="shared" si="12"/>
        <v>0</v>
      </c>
      <c r="J7" s="74">
        <v>22</v>
      </c>
      <c r="K7" s="57">
        <f t="shared" si="13"/>
        <v>0</v>
      </c>
      <c r="L7" s="75">
        <f t="shared" si="1"/>
        <v>0</v>
      </c>
      <c r="M7" s="76">
        <f t="shared" si="2"/>
        <v>0</v>
      </c>
      <c r="N7" s="76">
        <f t="shared" si="3"/>
        <v>0</v>
      </c>
      <c r="O7" s="77">
        <f t="shared" si="4"/>
        <v>0</v>
      </c>
      <c r="P7" s="77">
        <f t="shared" si="5"/>
        <v>0</v>
      </c>
      <c r="Q7" s="76">
        <f t="shared" si="6"/>
        <v>0</v>
      </c>
      <c r="R7" s="76">
        <f t="shared" si="7"/>
        <v>0</v>
      </c>
      <c r="S7" s="57">
        <f t="shared" si="8"/>
        <v>0</v>
      </c>
      <c r="W7" s="103">
        <v>45870</v>
      </c>
      <c r="X7" s="104">
        <v>10280</v>
      </c>
    </row>
    <row r="8" spans="1:24" x14ac:dyDescent="0.4">
      <c r="A8" s="57"/>
      <c r="B8" s="57" t="str">
        <f t="shared" si="9"/>
        <v>BAN1842</v>
      </c>
      <c r="C8" s="57"/>
      <c r="D8" s="57"/>
      <c r="E8" s="57"/>
      <c r="F8" s="71">
        <f t="shared" si="10"/>
        <v>183</v>
      </c>
      <c r="G8" s="72">
        <f t="shared" si="11"/>
        <v>0</v>
      </c>
      <c r="H8" s="57">
        <f t="shared" si="0"/>
        <v>0</v>
      </c>
      <c r="I8" s="73">
        <f t="shared" si="12"/>
        <v>0</v>
      </c>
      <c r="J8" s="74">
        <v>22</v>
      </c>
      <c r="K8" s="57">
        <f t="shared" si="13"/>
        <v>0</v>
      </c>
      <c r="L8" s="75">
        <f t="shared" si="1"/>
        <v>0</v>
      </c>
      <c r="M8" s="76">
        <f t="shared" si="2"/>
        <v>0</v>
      </c>
      <c r="N8" s="76">
        <f t="shared" si="3"/>
        <v>0</v>
      </c>
      <c r="O8" s="77">
        <f t="shared" si="4"/>
        <v>0</v>
      </c>
      <c r="P8" s="77">
        <f t="shared" si="5"/>
        <v>0</v>
      </c>
      <c r="Q8" s="76">
        <f t="shared" si="6"/>
        <v>0</v>
      </c>
      <c r="R8" s="76">
        <f t="shared" si="7"/>
        <v>0</v>
      </c>
      <c r="S8" s="57">
        <f t="shared" si="8"/>
        <v>0</v>
      </c>
      <c r="W8" s="103">
        <v>45901</v>
      </c>
      <c r="X8" s="104">
        <v>10929</v>
      </c>
    </row>
    <row r="9" spans="1:24" x14ac:dyDescent="0.4">
      <c r="A9" s="57"/>
      <c r="B9" s="57" t="str">
        <f t="shared" si="9"/>
        <v>BAN1842</v>
      </c>
      <c r="C9" s="57"/>
      <c r="D9" s="57"/>
      <c r="E9" s="57"/>
      <c r="F9" s="71">
        <f t="shared" si="10"/>
        <v>214</v>
      </c>
      <c r="G9" s="72">
        <f t="shared" si="11"/>
        <v>0</v>
      </c>
      <c r="H9" s="57">
        <f t="shared" si="0"/>
        <v>0</v>
      </c>
      <c r="I9" s="73">
        <f t="shared" si="12"/>
        <v>0</v>
      </c>
      <c r="J9" s="74">
        <v>22</v>
      </c>
      <c r="K9" s="57">
        <f t="shared" si="13"/>
        <v>0</v>
      </c>
      <c r="L9" s="75">
        <f t="shared" si="1"/>
        <v>0</v>
      </c>
      <c r="M9" s="76">
        <f t="shared" si="2"/>
        <v>0</v>
      </c>
      <c r="N9" s="76">
        <f t="shared" si="3"/>
        <v>0</v>
      </c>
      <c r="O9" s="77">
        <f t="shared" si="4"/>
        <v>0</v>
      </c>
      <c r="P9" s="77">
        <f t="shared" si="5"/>
        <v>0</v>
      </c>
      <c r="Q9" s="76">
        <f t="shared" si="6"/>
        <v>0</v>
      </c>
      <c r="R9" s="76">
        <f t="shared" si="7"/>
        <v>0</v>
      </c>
      <c r="S9" s="57">
        <f t="shared" si="8"/>
        <v>0</v>
      </c>
      <c r="W9" s="103">
        <v>45931</v>
      </c>
      <c r="X9" s="104">
        <v>12115</v>
      </c>
    </row>
    <row r="10" spans="1:24" x14ac:dyDescent="0.4">
      <c r="A10" s="57"/>
      <c r="B10" s="57" t="str">
        <f t="shared" si="9"/>
        <v>BAN1842</v>
      </c>
      <c r="C10" s="57"/>
      <c r="D10" s="79"/>
      <c r="E10" s="57"/>
      <c r="F10" s="71">
        <f t="shared" si="10"/>
        <v>245</v>
      </c>
      <c r="G10" s="72">
        <f t="shared" si="11"/>
        <v>0</v>
      </c>
      <c r="H10" s="57">
        <f t="shared" si="0"/>
        <v>0</v>
      </c>
      <c r="I10" s="73">
        <f t="shared" si="12"/>
        <v>0</v>
      </c>
      <c r="J10" s="74">
        <v>22</v>
      </c>
      <c r="K10" s="57">
        <f t="shared" si="13"/>
        <v>0</v>
      </c>
      <c r="L10" s="75">
        <f t="shared" si="1"/>
        <v>0</v>
      </c>
      <c r="M10" s="76">
        <f t="shared" si="2"/>
        <v>0</v>
      </c>
      <c r="N10" s="76">
        <f t="shared" si="3"/>
        <v>0</v>
      </c>
      <c r="O10" s="77">
        <f t="shared" si="4"/>
        <v>0</v>
      </c>
      <c r="P10" s="77">
        <f t="shared" si="5"/>
        <v>0</v>
      </c>
      <c r="Q10" s="76">
        <f t="shared" si="6"/>
        <v>0</v>
      </c>
      <c r="R10" s="76">
        <f t="shared" si="7"/>
        <v>0</v>
      </c>
      <c r="S10" s="57">
        <f t="shared" si="8"/>
        <v>0</v>
      </c>
      <c r="W10" s="103">
        <v>45962</v>
      </c>
      <c r="X10" s="104">
        <v>12490</v>
      </c>
    </row>
    <row r="11" spans="1:24" x14ac:dyDescent="0.4">
      <c r="A11" s="57"/>
      <c r="B11" s="57" t="str">
        <f t="shared" si="9"/>
        <v>BAN1842</v>
      </c>
      <c r="C11" s="57"/>
      <c r="D11" s="79"/>
      <c r="E11" s="57"/>
      <c r="F11" s="71">
        <f t="shared" si="10"/>
        <v>275</v>
      </c>
      <c r="G11" s="72">
        <f t="shared" si="11"/>
        <v>0</v>
      </c>
      <c r="H11" s="57">
        <f t="shared" si="0"/>
        <v>0</v>
      </c>
      <c r="I11" s="73">
        <f t="shared" si="12"/>
        <v>0</v>
      </c>
      <c r="J11" s="74">
        <v>22</v>
      </c>
      <c r="K11" s="57">
        <f t="shared" si="13"/>
        <v>0</v>
      </c>
      <c r="L11" s="75">
        <f t="shared" si="1"/>
        <v>0</v>
      </c>
      <c r="M11" s="76">
        <f t="shared" si="2"/>
        <v>0</v>
      </c>
      <c r="N11" s="76">
        <f t="shared" si="3"/>
        <v>0</v>
      </c>
      <c r="O11" s="77">
        <f t="shared" si="4"/>
        <v>0</v>
      </c>
      <c r="P11" s="77">
        <f t="shared" si="5"/>
        <v>0</v>
      </c>
      <c r="Q11" s="76">
        <f t="shared" si="6"/>
        <v>0</v>
      </c>
      <c r="R11" s="76">
        <f t="shared" si="7"/>
        <v>0</v>
      </c>
      <c r="S11" s="57">
        <f t="shared" si="8"/>
        <v>0</v>
      </c>
      <c r="W11" s="103">
        <v>45992</v>
      </c>
      <c r="X11" s="104">
        <v>13220</v>
      </c>
    </row>
    <row r="12" spans="1:24" x14ac:dyDescent="0.4">
      <c r="A12" s="57"/>
      <c r="B12" s="57" t="str">
        <f t="shared" si="9"/>
        <v>BAN1842</v>
      </c>
      <c r="C12" s="57"/>
      <c r="D12" s="57"/>
      <c r="E12" s="57"/>
      <c r="F12" s="71">
        <f t="shared" si="10"/>
        <v>306</v>
      </c>
      <c r="G12" s="72">
        <f t="shared" si="11"/>
        <v>0</v>
      </c>
      <c r="H12" s="57">
        <f t="shared" si="0"/>
        <v>0</v>
      </c>
      <c r="I12" s="73">
        <f t="shared" si="12"/>
        <v>0</v>
      </c>
      <c r="J12" s="74">
        <v>22</v>
      </c>
      <c r="K12" s="57">
        <f t="shared" si="13"/>
        <v>0</v>
      </c>
      <c r="L12" s="75">
        <f t="shared" si="1"/>
        <v>0</v>
      </c>
      <c r="M12" s="76">
        <f t="shared" si="2"/>
        <v>0</v>
      </c>
      <c r="N12" s="76">
        <f t="shared" si="3"/>
        <v>0</v>
      </c>
      <c r="O12" s="77">
        <f t="shared" si="4"/>
        <v>0</v>
      </c>
      <c r="P12" s="77">
        <f t="shared" si="5"/>
        <v>0</v>
      </c>
      <c r="Q12" s="76">
        <f t="shared" si="6"/>
        <v>0</v>
      </c>
      <c r="R12" s="76">
        <f t="shared" si="7"/>
        <v>0</v>
      </c>
      <c r="S12" s="57">
        <f t="shared" si="8"/>
        <v>0</v>
      </c>
      <c r="W12" s="103">
        <v>46023</v>
      </c>
      <c r="X12" s="104">
        <v>13790</v>
      </c>
    </row>
    <row r="13" spans="1:24" x14ac:dyDescent="0.4">
      <c r="A13" s="57"/>
      <c r="B13" s="57" t="str">
        <f t="shared" si="9"/>
        <v>BAN1842</v>
      </c>
      <c r="C13" s="57"/>
      <c r="D13" s="57"/>
      <c r="E13" s="57"/>
      <c r="F13" s="71">
        <f t="shared" si="10"/>
        <v>336</v>
      </c>
      <c r="G13" s="72">
        <f t="shared" si="11"/>
        <v>0</v>
      </c>
      <c r="H13" s="57">
        <f t="shared" si="0"/>
        <v>0</v>
      </c>
      <c r="I13" s="73">
        <f t="shared" si="12"/>
        <v>0</v>
      </c>
      <c r="J13" s="74">
        <v>22</v>
      </c>
      <c r="K13" s="57">
        <f t="shared" si="13"/>
        <v>0</v>
      </c>
      <c r="L13" s="75">
        <f t="shared" si="1"/>
        <v>0</v>
      </c>
      <c r="M13" s="76">
        <f t="shared" si="2"/>
        <v>0</v>
      </c>
      <c r="N13" s="76">
        <f t="shared" si="3"/>
        <v>0</v>
      </c>
      <c r="O13" s="77">
        <f t="shared" si="4"/>
        <v>0</v>
      </c>
      <c r="P13" s="77">
        <f t="shared" si="5"/>
        <v>0</v>
      </c>
      <c r="Q13" s="76">
        <f t="shared" si="6"/>
        <v>0</v>
      </c>
      <c r="R13" s="76">
        <f t="shared" si="7"/>
        <v>0</v>
      </c>
      <c r="S13" s="57">
        <f t="shared" si="8"/>
        <v>0</v>
      </c>
      <c r="W13" s="103">
        <v>46054</v>
      </c>
      <c r="X13" s="104">
        <v>15760</v>
      </c>
    </row>
    <row r="14" spans="1:24" x14ac:dyDescent="0.4">
      <c r="A14" s="57"/>
      <c r="B14" s="57" t="str">
        <f t="shared" si="9"/>
        <v>BAN1842</v>
      </c>
      <c r="C14" s="57"/>
      <c r="D14" s="57"/>
      <c r="E14" s="57"/>
      <c r="F14" s="71">
        <f t="shared" si="10"/>
        <v>367</v>
      </c>
      <c r="G14" s="72">
        <f t="shared" si="11"/>
        <v>0</v>
      </c>
      <c r="H14" s="57">
        <f t="shared" si="0"/>
        <v>0</v>
      </c>
      <c r="I14" s="73">
        <f t="shared" si="12"/>
        <v>0</v>
      </c>
      <c r="J14" s="74">
        <v>22</v>
      </c>
      <c r="K14" s="57">
        <f t="shared" si="13"/>
        <v>0</v>
      </c>
      <c r="L14" s="75">
        <f t="shared" si="1"/>
        <v>0</v>
      </c>
      <c r="M14" s="76">
        <f t="shared" si="2"/>
        <v>0</v>
      </c>
      <c r="N14" s="76">
        <f t="shared" si="3"/>
        <v>0</v>
      </c>
      <c r="O14" s="77">
        <f t="shared" si="4"/>
        <v>0</v>
      </c>
      <c r="P14" s="77">
        <f t="shared" si="5"/>
        <v>0</v>
      </c>
      <c r="Q14" s="76">
        <f t="shared" si="6"/>
        <v>0</v>
      </c>
      <c r="R14" s="76">
        <f t="shared" si="7"/>
        <v>0</v>
      </c>
      <c r="S14" s="57">
        <f t="shared" si="8"/>
        <v>0</v>
      </c>
      <c r="W14" s="103">
        <v>46082</v>
      </c>
      <c r="X14" s="104">
        <v>17200</v>
      </c>
    </row>
    <row r="15" spans="1:24" x14ac:dyDescent="0.4">
      <c r="B15" s="57"/>
      <c r="W15" s="103">
        <v>46113</v>
      </c>
      <c r="X15" s="104">
        <v>15450</v>
      </c>
    </row>
    <row r="16" spans="1:24" ht="123" customHeight="1" x14ac:dyDescent="0.4">
      <c r="A16" s="69" t="s">
        <v>11</v>
      </c>
      <c r="B16" s="69" t="s">
        <v>11</v>
      </c>
      <c r="C16" s="69" t="s">
        <v>155</v>
      </c>
      <c r="D16" s="69" t="s">
        <v>158</v>
      </c>
      <c r="E16" s="69" t="s">
        <v>185</v>
      </c>
      <c r="F16" s="69" t="s">
        <v>186</v>
      </c>
      <c r="G16" s="70" t="s">
        <v>156</v>
      </c>
      <c r="H16" s="69" t="s">
        <v>187</v>
      </c>
      <c r="I16" s="69" t="s">
        <v>188</v>
      </c>
      <c r="J16" s="69" t="s">
        <v>158</v>
      </c>
      <c r="K16" s="69" t="s">
        <v>159</v>
      </c>
      <c r="L16" s="69" t="s">
        <v>160</v>
      </c>
      <c r="M16" s="69" t="s">
        <v>161</v>
      </c>
      <c r="N16" s="69" t="s">
        <v>162</v>
      </c>
      <c r="O16" s="69" t="s">
        <v>163</v>
      </c>
      <c r="P16" s="69" t="s">
        <v>164</v>
      </c>
      <c r="Q16" s="69" t="s">
        <v>165</v>
      </c>
      <c r="R16" s="69" t="s">
        <v>166</v>
      </c>
      <c r="S16" s="69" t="s">
        <v>189</v>
      </c>
      <c r="W16" s="50"/>
    </row>
    <row r="17" spans="1:22" x14ac:dyDescent="0.4">
      <c r="A17" s="57">
        <f>+A3+1</f>
        <v>2</v>
      </c>
      <c r="B17" s="57" t="str">
        <f>INDEX('sale resgister'!B:B,A17+1,1)</f>
        <v>BAN1847</v>
      </c>
      <c r="C17" s="71">
        <f>+VLOOKUP(B17,'sale resgister'!B:J,9,0)</f>
        <v>45757</v>
      </c>
      <c r="D17" s="79" t="str">
        <f>+VLOOKUP(B17,'sale resgister'!B:J,2,0)</f>
        <v>Batch 1</v>
      </c>
      <c r="E17" s="96">
        <f>IF(C17=0,0,VLOOKUP(B17,'sale resgister'!B:J,4,0))</f>
        <v>46.893000000000001</v>
      </c>
      <c r="F17" s="71">
        <f>DATE(YEAR(C17),MONTH(C17)+1,1)</f>
        <v>45778</v>
      </c>
      <c r="G17" s="72">
        <f>E17</f>
        <v>46.893000000000001</v>
      </c>
      <c r="H17" s="57">
        <f t="shared" ref="H17:H28" si="14">ROUND(+G17*$H$1,3)</f>
        <v>3.2829999999999999</v>
      </c>
      <c r="I17" s="73">
        <f t="shared" ref="I17:I28" si="15">IFERROR(+VLOOKUP(F17,$W$3:$X$15,2,0),0)</f>
        <v>9953</v>
      </c>
      <c r="J17" s="74">
        <v>22</v>
      </c>
      <c r="K17" s="57">
        <f t="shared" ref="K17:K28" si="16">ROUND(+H17*97%,3)</f>
        <v>3.1850000000000001</v>
      </c>
      <c r="L17" s="75">
        <f t="shared" ref="L17:L28" si="17">(K17-H17*92%)*I17</f>
        <v>1638.6619199999989</v>
      </c>
      <c r="M17" s="76">
        <f t="shared" ref="M17:M28" si="18">ROUND(I17*92%*H17,2)</f>
        <v>30061.64</v>
      </c>
      <c r="N17" s="76">
        <f t="shared" ref="N17:N28" si="19">ROUND(+M17*0.11,2)</f>
        <v>3306.78</v>
      </c>
      <c r="O17" s="77">
        <f t="shared" ref="O17:O28" si="20">+N17-L17</f>
        <v>1668.1180800000013</v>
      </c>
      <c r="P17" s="77">
        <f t="shared" ref="P17:P28" si="21">ROUND(+O17*15%,2)</f>
        <v>250.22</v>
      </c>
      <c r="Q17" s="76">
        <f t="shared" ref="Q17:Q28" si="22">ROUND(+(O17-P17)*60%,2)</f>
        <v>850.74</v>
      </c>
      <c r="R17" s="76">
        <f t="shared" ref="R17:R28" si="23">ROUND(+(O17-P17)*40%,2)</f>
        <v>567.16</v>
      </c>
      <c r="S17" s="57">
        <f t="shared" ref="S17:S28" si="24">IFERROR(ROUND(+Q17/(I17/92%),3),0)</f>
        <v>7.9000000000000001E-2</v>
      </c>
      <c r="U17">
        <v>1633.6854199999973</v>
      </c>
      <c r="V17" s="138">
        <f>+U17-L17</f>
        <v>-4.9765000000015789</v>
      </c>
    </row>
    <row r="18" spans="1:22" x14ac:dyDescent="0.4">
      <c r="A18" s="57"/>
      <c r="B18" s="57" t="str">
        <f t="shared" ref="B18:B28" si="25">+B17</f>
        <v>BAN1847</v>
      </c>
      <c r="C18" s="57"/>
      <c r="D18" s="57"/>
      <c r="E18" s="57"/>
      <c r="F18" s="71">
        <f t="shared" ref="F18:F28" si="26">IF(+DATE(YEAR(F17),MONTH(F17)+1,1)&gt;$G$1+1,0,+DATE(YEAR(F17),MONTH(F17)+1,1))</f>
        <v>45809</v>
      </c>
      <c r="G18" s="72">
        <f t="shared" ref="G18:G28" si="27">ROUND(IF(F18=0,0,(G17+S17)),3)</f>
        <v>46.972000000000001</v>
      </c>
      <c r="H18" s="57">
        <f t="shared" si="14"/>
        <v>3.2879999999999998</v>
      </c>
      <c r="I18" s="73">
        <f t="shared" si="15"/>
        <v>9966</v>
      </c>
      <c r="J18" s="74">
        <v>22</v>
      </c>
      <c r="K18" s="57">
        <f t="shared" si="16"/>
        <v>3.1890000000000001</v>
      </c>
      <c r="L18" s="75">
        <f t="shared" si="17"/>
        <v>1634.8226399999996</v>
      </c>
      <c r="M18" s="76">
        <f t="shared" si="18"/>
        <v>30146.75</v>
      </c>
      <c r="N18" s="76">
        <f t="shared" si="19"/>
        <v>3316.14</v>
      </c>
      <c r="O18" s="77">
        <f t="shared" si="20"/>
        <v>1681.3173600000002</v>
      </c>
      <c r="P18" s="77">
        <f t="shared" si="21"/>
        <v>252.2</v>
      </c>
      <c r="Q18" s="76">
        <f t="shared" si="22"/>
        <v>857.47</v>
      </c>
      <c r="R18" s="76">
        <f t="shared" si="23"/>
        <v>571.65</v>
      </c>
      <c r="S18" s="57">
        <f t="shared" si="24"/>
        <v>7.9000000000000001E-2</v>
      </c>
      <c r="U18">
        <v>1638.8090399999992</v>
      </c>
      <c r="V18" s="138">
        <f t="shared" ref="V18:V28" si="28">+U18-L18</f>
        <v>3.9863999999995485</v>
      </c>
    </row>
    <row r="19" spans="1:22" x14ac:dyDescent="0.4">
      <c r="A19" s="57"/>
      <c r="B19" s="57" t="str">
        <f t="shared" si="25"/>
        <v>BAN1847</v>
      </c>
      <c r="C19" s="57"/>
      <c r="D19" s="57"/>
      <c r="E19" s="71"/>
      <c r="F19" s="71">
        <f t="shared" si="26"/>
        <v>45839</v>
      </c>
      <c r="G19" s="72">
        <f t="shared" si="27"/>
        <v>47.051000000000002</v>
      </c>
      <c r="H19" s="57">
        <f t="shared" si="14"/>
        <v>3.294</v>
      </c>
      <c r="I19" s="73">
        <f t="shared" si="15"/>
        <v>10008</v>
      </c>
      <c r="J19" s="74">
        <v>22</v>
      </c>
      <c r="K19" s="57">
        <f t="shared" si="16"/>
        <v>3.1949999999999998</v>
      </c>
      <c r="L19" s="75">
        <f t="shared" si="17"/>
        <v>1646.5161599999956</v>
      </c>
      <c r="M19" s="76">
        <f t="shared" si="18"/>
        <v>30329.040000000001</v>
      </c>
      <c r="N19" s="76">
        <f t="shared" si="19"/>
        <v>3336.19</v>
      </c>
      <c r="O19" s="77">
        <f t="shared" si="20"/>
        <v>1689.6738400000045</v>
      </c>
      <c r="P19" s="77">
        <f t="shared" si="21"/>
        <v>253.45</v>
      </c>
      <c r="Q19" s="76">
        <f t="shared" si="22"/>
        <v>861.73</v>
      </c>
      <c r="R19" s="76">
        <f t="shared" si="23"/>
        <v>574.49</v>
      </c>
      <c r="S19" s="57">
        <f t="shared" si="24"/>
        <v>7.9000000000000001E-2</v>
      </c>
      <c r="U19">
        <v>1648.5177599999954</v>
      </c>
      <c r="V19" s="138">
        <f t="shared" si="28"/>
        <v>2.0015999999998257</v>
      </c>
    </row>
    <row r="20" spans="1:22" x14ac:dyDescent="0.4">
      <c r="A20" s="57"/>
      <c r="B20" s="57" t="str">
        <f t="shared" si="25"/>
        <v>BAN1847</v>
      </c>
      <c r="C20" s="57"/>
      <c r="D20" s="57"/>
      <c r="E20" s="57"/>
      <c r="F20" s="71">
        <f t="shared" si="26"/>
        <v>45870</v>
      </c>
      <c r="G20" s="72">
        <f t="shared" si="27"/>
        <v>47.13</v>
      </c>
      <c r="H20" s="57">
        <f t="shared" si="14"/>
        <v>3.2989999999999999</v>
      </c>
      <c r="I20" s="73">
        <f t="shared" si="15"/>
        <v>10280</v>
      </c>
      <c r="J20" s="74">
        <v>22</v>
      </c>
      <c r="K20" s="57">
        <f t="shared" si="16"/>
        <v>3.2</v>
      </c>
      <c r="L20" s="75">
        <f t="shared" si="17"/>
        <v>1695.3775999999996</v>
      </c>
      <c r="M20" s="76">
        <f t="shared" si="18"/>
        <v>31200.62</v>
      </c>
      <c r="N20" s="76">
        <f t="shared" si="19"/>
        <v>3432.07</v>
      </c>
      <c r="O20" s="77">
        <f t="shared" si="20"/>
        <v>1736.6924000000006</v>
      </c>
      <c r="P20" s="77">
        <f t="shared" si="21"/>
        <v>260.5</v>
      </c>
      <c r="Q20" s="76">
        <f t="shared" si="22"/>
        <v>885.72</v>
      </c>
      <c r="R20" s="76">
        <f t="shared" si="23"/>
        <v>590.48</v>
      </c>
      <c r="S20" s="57">
        <f t="shared" si="24"/>
        <v>7.9000000000000001E-2</v>
      </c>
      <c r="U20">
        <v>1695.3775999999996</v>
      </c>
      <c r="V20" s="138">
        <f t="shared" si="28"/>
        <v>0</v>
      </c>
    </row>
    <row r="21" spans="1:22" x14ac:dyDescent="0.4">
      <c r="A21" s="57"/>
      <c r="B21" s="57" t="str">
        <f t="shared" si="25"/>
        <v>BAN1847</v>
      </c>
      <c r="C21" s="71"/>
      <c r="D21" s="57"/>
      <c r="E21" s="57"/>
      <c r="F21" s="71">
        <f t="shared" si="26"/>
        <v>45901</v>
      </c>
      <c r="G21" s="72">
        <f t="shared" si="27"/>
        <v>47.209000000000003</v>
      </c>
      <c r="H21" s="57">
        <f t="shared" si="14"/>
        <v>3.3050000000000002</v>
      </c>
      <c r="I21" s="73">
        <f t="shared" si="15"/>
        <v>10929</v>
      </c>
      <c r="J21" s="74">
        <v>22</v>
      </c>
      <c r="K21" s="57">
        <f t="shared" si="16"/>
        <v>3.206</v>
      </c>
      <c r="L21" s="75">
        <f t="shared" si="17"/>
        <v>1807.656599999995</v>
      </c>
      <c r="M21" s="76">
        <f t="shared" si="18"/>
        <v>33230.720000000001</v>
      </c>
      <c r="N21" s="76">
        <f t="shared" si="19"/>
        <v>3655.38</v>
      </c>
      <c r="O21" s="77">
        <f t="shared" si="20"/>
        <v>1847.7234000000051</v>
      </c>
      <c r="P21" s="77">
        <f t="shared" si="21"/>
        <v>277.16000000000003</v>
      </c>
      <c r="Q21" s="76">
        <f t="shared" si="22"/>
        <v>942.34</v>
      </c>
      <c r="R21" s="76">
        <f t="shared" si="23"/>
        <v>628.23</v>
      </c>
      <c r="S21" s="57">
        <f t="shared" si="24"/>
        <v>7.9000000000000001E-2</v>
      </c>
      <c r="U21">
        <v>1806.5636999999977</v>
      </c>
      <c r="V21" s="138">
        <f t="shared" si="28"/>
        <v>-1.0928999999973712</v>
      </c>
    </row>
    <row r="22" spans="1:22" x14ac:dyDescent="0.4">
      <c r="A22" s="57"/>
      <c r="B22" s="57" t="str">
        <f t="shared" si="25"/>
        <v>BAN1847</v>
      </c>
      <c r="C22" s="57"/>
      <c r="D22" s="57"/>
      <c r="E22" s="57"/>
      <c r="F22" s="71">
        <f t="shared" si="26"/>
        <v>45931</v>
      </c>
      <c r="G22" s="72">
        <f t="shared" si="27"/>
        <v>47.287999999999997</v>
      </c>
      <c r="H22" s="57">
        <f t="shared" si="14"/>
        <v>3.31</v>
      </c>
      <c r="I22" s="73">
        <f t="shared" si="15"/>
        <v>12115</v>
      </c>
      <c r="J22" s="74">
        <v>22</v>
      </c>
      <c r="K22" s="57">
        <f t="shared" si="16"/>
        <v>3.2109999999999999</v>
      </c>
      <c r="L22" s="75">
        <f t="shared" si="17"/>
        <v>2008.666999999994</v>
      </c>
      <c r="M22" s="76">
        <f t="shared" si="18"/>
        <v>36892.6</v>
      </c>
      <c r="N22" s="76">
        <f t="shared" si="19"/>
        <v>4058.19</v>
      </c>
      <c r="O22" s="77">
        <f t="shared" si="20"/>
        <v>2049.523000000006</v>
      </c>
      <c r="P22" s="77">
        <f t="shared" si="21"/>
        <v>307.43</v>
      </c>
      <c r="Q22" s="76">
        <f t="shared" si="22"/>
        <v>1045.26</v>
      </c>
      <c r="R22" s="76">
        <f t="shared" si="23"/>
        <v>696.84</v>
      </c>
      <c r="S22" s="57">
        <f t="shared" si="24"/>
        <v>7.9000000000000001E-2</v>
      </c>
      <c r="U22">
        <v>2005.0324999999971</v>
      </c>
      <c r="V22" s="138">
        <f t="shared" si="28"/>
        <v>-3.6344999999969332</v>
      </c>
    </row>
    <row r="23" spans="1:22" x14ac:dyDescent="0.4">
      <c r="A23" s="57"/>
      <c r="B23" s="57" t="str">
        <f t="shared" si="25"/>
        <v>BAN1847</v>
      </c>
      <c r="C23" s="57"/>
      <c r="D23" s="57"/>
      <c r="E23" s="57"/>
      <c r="F23" s="71">
        <f t="shared" si="26"/>
        <v>45962</v>
      </c>
      <c r="G23" s="72">
        <f t="shared" si="27"/>
        <v>47.366999999999997</v>
      </c>
      <c r="H23" s="57">
        <f t="shared" si="14"/>
        <v>3.3159999999999998</v>
      </c>
      <c r="I23" s="73">
        <f t="shared" si="15"/>
        <v>12490</v>
      </c>
      <c r="J23" s="74">
        <v>22</v>
      </c>
      <c r="K23" s="57">
        <f t="shared" si="16"/>
        <v>3.2170000000000001</v>
      </c>
      <c r="L23" s="75">
        <f t="shared" si="17"/>
        <v>2076.8371999999999</v>
      </c>
      <c r="M23" s="76">
        <f t="shared" si="18"/>
        <v>38103.49</v>
      </c>
      <c r="N23" s="76">
        <f t="shared" si="19"/>
        <v>4191.38</v>
      </c>
      <c r="O23" s="77">
        <f t="shared" si="20"/>
        <v>2114.5428000000002</v>
      </c>
      <c r="P23" s="77">
        <f t="shared" si="21"/>
        <v>317.18</v>
      </c>
      <c r="Q23" s="76">
        <f t="shared" si="22"/>
        <v>1078.42</v>
      </c>
      <c r="R23" s="76">
        <f t="shared" si="23"/>
        <v>718.95</v>
      </c>
      <c r="S23" s="57">
        <f t="shared" si="24"/>
        <v>7.9000000000000001E-2</v>
      </c>
      <c r="U23">
        <v>2070.5921999999978</v>
      </c>
      <c r="V23" s="138">
        <f t="shared" si="28"/>
        <v>-6.2450000000021646</v>
      </c>
    </row>
    <row r="24" spans="1:22" x14ac:dyDescent="0.4">
      <c r="A24" s="57"/>
      <c r="B24" s="57" t="str">
        <f t="shared" si="25"/>
        <v>BAN1847</v>
      </c>
      <c r="C24" s="57"/>
      <c r="D24" s="79"/>
      <c r="E24" s="57"/>
      <c r="F24" s="71">
        <f t="shared" si="26"/>
        <v>45992</v>
      </c>
      <c r="G24" s="72">
        <f t="shared" si="27"/>
        <v>47.445999999999998</v>
      </c>
      <c r="H24" s="57">
        <f t="shared" si="14"/>
        <v>3.3210000000000002</v>
      </c>
      <c r="I24" s="73">
        <f t="shared" si="15"/>
        <v>13220</v>
      </c>
      <c r="J24" s="74">
        <v>22</v>
      </c>
      <c r="K24" s="57">
        <f t="shared" si="16"/>
        <v>3.2210000000000001</v>
      </c>
      <c r="L24" s="75">
        <f t="shared" si="17"/>
        <v>2190.2895999999946</v>
      </c>
      <c r="M24" s="76">
        <f t="shared" si="18"/>
        <v>40391.33</v>
      </c>
      <c r="N24" s="76">
        <f t="shared" si="19"/>
        <v>4443.05</v>
      </c>
      <c r="O24" s="77">
        <f t="shared" si="20"/>
        <v>2252.7604000000056</v>
      </c>
      <c r="P24" s="77">
        <f t="shared" si="21"/>
        <v>337.91</v>
      </c>
      <c r="Q24" s="76">
        <f t="shared" si="22"/>
        <v>1148.9100000000001</v>
      </c>
      <c r="R24" s="76">
        <f t="shared" si="23"/>
        <v>765.94</v>
      </c>
      <c r="S24" s="57">
        <f t="shared" si="24"/>
        <v>0.08</v>
      </c>
      <c r="U24">
        <v>2195.5775999999942</v>
      </c>
      <c r="V24" s="138">
        <f t="shared" si="28"/>
        <v>5.2879999999995562</v>
      </c>
    </row>
    <row r="25" spans="1:22" x14ac:dyDescent="0.4">
      <c r="A25" s="57"/>
      <c r="B25" s="57" t="str">
        <f t="shared" si="25"/>
        <v>BAN1847</v>
      </c>
      <c r="C25" s="57"/>
      <c r="D25" s="79"/>
      <c r="E25" s="57"/>
      <c r="F25" s="71">
        <f t="shared" si="26"/>
        <v>46023</v>
      </c>
      <c r="G25" s="72">
        <f t="shared" si="27"/>
        <v>47.526000000000003</v>
      </c>
      <c r="H25" s="57">
        <f t="shared" si="14"/>
        <v>3.327</v>
      </c>
      <c r="I25" s="73">
        <f t="shared" si="15"/>
        <v>13790</v>
      </c>
      <c r="J25" s="74">
        <v>22</v>
      </c>
      <c r="K25" s="57">
        <f t="shared" si="16"/>
        <v>3.2269999999999999</v>
      </c>
      <c r="L25" s="75">
        <f t="shared" si="17"/>
        <v>2291.3463999999949</v>
      </c>
      <c r="M25" s="76">
        <f t="shared" si="18"/>
        <v>42208.98</v>
      </c>
      <c r="N25" s="76">
        <f t="shared" si="19"/>
        <v>4642.99</v>
      </c>
      <c r="O25" s="77">
        <f t="shared" si="20"/>
        <v>2351.6436000000049</v>
      </c>
      <c r="P25" s="77">
        <f t="shared" si="21"/>
        <v>352.75</v>
      </c>
      <c r="Q25" s="76">
        <f t="shared" si="22"/>
        <v>1199.3399999999999</v>
      </c>
      <c r="R25" s="76">
        <f t="shared" si="23"/>
        <v>799.56</v>
      </c>
      <c r="S25" s="57">
        <f t="shared" si="24"/>
        <v>0.08</v>
      </c>
      <c r="U25">
        <v>2294.1043999999947</v>
      </c>
      <c r="V25" s="138">
        <f t="shared" si="28"/>
        <v>2.7579999999998108</v>
      </c>
    </row>
    <row r="26" spans="1:22" x14ac:dyDescent="0.4">
      <c r="A26" s="57"/>
      <c r="B26" s="57" t="str">
        <f t="shared" si="25"/>
        <v>BAN1847</v>
      </c>
      <c r="C26" s="57"/>
      <c r="D26" s="57"/>
      <c r="E26" s="57"/>
      <c r="F26" s="71">
        <f t="shared" si="26"/>
        <v>46054</v>
      </c>
      <c r="G26" s="72">
        <f t="shared" si="27"/>
        <v>47.606000000000002</v>
      </c>
      <c r="H26" s="57">
        <f t="shared" si="14"/>
        <v>3.3319999999999999</v>
      </c>
      <c r="I26" s="73">
        <f t="shared" si="15"/>
        <v>15760</v>
      </c>
      <c r="J26" s="74">
        <v>22</v>
      </c>
      <c r="K26" s="57">
        <f t="shared" si="16"/>
        <v>3.2320000000000002</v>
      </c>
      <c r="L26" s="75">
        <f t="shared" si="17"/>
        <v>2624.9856000000004</v>
      </c>
      <c r="M26" s="76">
        <f t="shared" si="18"/>
        <v>48311.33</v>
      </c>
      <c r="N26" s="76">
        <f t="shared" si="19"/>
        <v>5314.25</v>
      </c>
      <c r="O26" s="77">
        <f t="shared" si="20"/>
        <v>2689.2643999999996</v>
      </c>
      <c r="P26" s="77">
        <f t="shared" si="21"/>
        <v>403.39</v>
      </c>
      <c r="Q26" s="76">
        <f t="shared" si="22"/>
        <v>1371.52</v>
      </c>
      <c r="R26" s="76">
        <f t="shared" si="23"/>
        <v>914.35</v>
      </c>
      <c r="S26" s="57">
        <f t="shared" si="24"/>
        <v>0.08</v>
      </c>
      <c r="U26">
        <v>2626.246399999995</v>
      </c>
      <c r="V26" s="138">
        <f t="shared" si="28"/>
        <v>1.2607999999945605</v>
      </c>
    </row>
    <row r="27" spans="1:22" x14ac:dyDescent="0.4">
      <c r="A27" s="57"/>
      <c r="B27" s="57" t="str">
        <f t="shared" si="25"/>
        <v>BAN1847</v>
      </c>
      <c r="C27" s="57"/>
      <c r="D27" s="57"/>
      <c r="E27" s="57"/>
      <c r="F27" s="71">
        <f t="shared" si="26"/>
        <v>46082</v>
      </c>
      <c r="G27" s="72">
        <f t="shared" si="27"/>
        <v>47.686</v>
      </c>
      <c r="H27" s="57">
        <f t="shared" si="14"/>
        <v>3.3380000000000001</v>
      </c>
      <c r="I27" s="73">
        <f t="shared" si="15"/>
        <v>17200</v>
      </c>
      <c r="J27" s="74">
        <v>22</v>
      </c>
      <c r="K27" s="57">
        <f t="shared" si="16"/>
        <v>3.238</v>
      </c>
      <c r="L27" s="75">
        <f t="shared" si="17"/>
        <v>2873.0879999999938</v>
      </c>
      <c r="M27" s="76">
        <f t="shared" si="18"/>
        <v>52820.51</v>
      </c>
      <c r="N27" s="76">
        <f t="shared" si="19"/>
        <v>5810.26</v>
      </c>
      <c r="O27" s="77">
        <f t="shared" si="20"/>
        <v>2937.1720000000064</v>
      </c>
      <c r="P27" s="77">
        <f t="shared" si="21"/>
        <v>440.58</v>
      </c>
      <c r="Q27" s="76">
        <f t="shared" si="22"/>
        <v>1497.96</v>
      </c>
      <c r="R27" s="76">
        <f t="shared" si="23"/>
        <v>998.64</v>
      </c>
      <c r="S27" s="57">
        <f t="shared" si="24"/>
        <v>0.08</v>
      </c>
      <c r="U27">
        <v>2871.3679999999899</v>
      </c>
      <c r="V27" s="138">
        <f t="shared" si="28"/>
        <v>-1.7200000000038926</v>
      </c>
    </row>
    <row r="28" spans="1:22" x14ac:dyDescent="0.4">
      <c r="A28" s="57"/>
      <c r="B28" s="57" t="str">
        <f t="shared" si="25"/>
        <v>BAN1847</v>
      </c>
      <c r="C28" s="57"/>
      <c r="D28" s="57"/>
      <c r="E28" s="57"/>
      <c r="F28" s="71">
        <f t="shared" si="26"/>
        <v>46113</v>
      </c>
      <c r="G28" s="72">
        <f t="shared" si="27"/>
        <v>47.765999999999998</v>
      </c>
      <c r="H28" s="57">
        <f t="shared" si="14"/>
        <v>3.3439999999999999</v>
      </c>
      <c r="I28" s="73">
        <f t="shared" si="15"/>
        <v>15450</v>
      </c>
      <c r="J28" s="74">
        <v>22</v>
      </c>
      <c r="K28" s="57">
        <f t="shared" si="16"/>
        <v>3.2440000000000002</v>
      </c>
      <c r="L28" s="75">
        <f t="shared" si="17"/>
        <v>2588.1840000000016</v>
      </c>
      <c r="M28" s="76">
        <f t="shared" si="18"/>
        <v>47531.62</v>
      </c>
      <c r="N28" s="76">
        <f t="shared" si="19"/>
        <v>5228.4799999999996</v>
      </c>
      <c r="O28" s="77">
        <f t="shared" si="20"/>
        <v>2640.295999999998</v>
      </c>
      <c r="P28" s="77">
        <f t="shared" si="21"/>
        <v>396.04</v>
      </c>
      <c r="Q28" s="76">
        <f t="shared" si="22"/>
        <v>1346.55</v>
      </c>
      <c r="R28" s="76">
        <f t="shared" si="23"/>
        <v>897.7</v>
      </c>
      <c r="S28" s="57">
        <f t="shared" si="24"/>
        <v>0.08</v>
      </c>
      <c r="U28">
        <v>2583.5489999999986</v>
      </c>
      <c r="V28" s="138">
        <f t="shared" si="28"/>
        <v>-4.6350000000029468</v>
      </c>
    </row>
    <row r="29" spans="1:22" x14ac:dyDescent="0.4">
      <c r="B29" s="57"/>
      <c r="V29" s="138">
        <f>SUM(V17:V28)</f>
        <v>-7.0091000000115855</v>
      </c>
    </row>
    <row r="30" spans="1:22" ht="123" customHeight="1" x14ac:dyDescent="0.4">
      <c r="A30" s="69" t="s">
        <v>11</v>
      </c>
      <c r="B30" s="69" t="s">
        <v>11</v>
      </c>
      <c r="C30" s="69" t="s">
        <v>155</v>
      </c>
      <c r="D30" s="69" t="s">
        <v>158</v>
      </c>
      <c r="E30" s="69" t="s">
        <v>185</v>
      </c>
      <c r="F30" s="69" t="s">
        <v>186</v>
      </c>
      <c r="G30" s="70" t="s">
        <v>156</v>
      </c>
      <c r="H30" s="69" t="s">
        <v>187</v>
      </c>
      <c r="I30" s="69" t="s">
        <v>188</v>
      </c>
      <c r="J30" s="69" t="s">
        <v>158</v>
      </c>
      <c r="K30" s="69" t="s">
        <v>159</v>
      </c>
      <c r="L30" s="69" t="s">
        <v>160</v>
      </c>
      <c r="M30" s="69" t="s">
        <v>161</v>
      </c>
      <c r="N30" s="69" t="s">
        <v>162</v>
      </c>
      <c r="O30" s="69" t="s">
        <v>163</v>
      </c>
      <c r="P30" s="69" t="s">
        <v>164</v>
      </c>
      <c r="Q30" s="69" t="s">
        <v>165</v>
      </c>
      <c r="R30" s="69" t="s">
        <v>166</v>
      </c>
      <c r="S30" s="69" t="s">
        <v>189</v>
      </c>
    </row>
    <row r="31" spans="1:22" x14ac:dyDescent="0.4">
      <c r="A31" s="57">
        <f>+A17+1</f>
        <v>3</v>
      </c>
      <c r="B31" s="57" t="str">
        <f>INDEX('sale resgister'!B:B,A31+1,1)</f>
        <v>BAN1846</v>
      </c>
      <c r="C31" s="71">
        <f>+VLOOKUP(B31,'sale resgister'!B:J,9,0)</f>
        <v>0</v>
      </c>
      <c r="D31" s="79" t="str">
        <f>+VLOOKUP(B31,'sale resgister'!B:J,2,0)</f>
        <v>Batch 1</v>
      </c>
      <c r="E31" s="96">
        <f>IF(C31=0,0,VLOOKUP(B31,'sale resgister'!B:J,4,0))</f>
        <v>0</v>
      </c>
      <c r="F31" s="71">
        <f>DATE(YEAR(C31),MONTH(C31)+1,1)</f>
        <v>32</v>
      </c>
      <c r="G31" s="72">
        <f>E31</f>
        <v>0</v>
      </c>
      <c r="H31" s="57">
        <f t="shared" ref="H31:H42" si="29">ROUND(+G31*$H$1,3)</f>
        <v>0</v>
      </c>
      <c r="I31" s="73">
        <f t="shared" ref="I31:I42" si="30">IFERROR(+VLOOKUP(F31,$W$3:$X$15,2,0),0)</f>
        <v>0</v>
      </c>
      <c r="J31" s="74">
        <v>22</v>
      </c>
      <c r="K31" s="57">
        <f t="shared" ref="K31:K42" si="31">ROUND(+H31*97%,3)</f>
        <v>0</v>
      </c>
      <c r="L31" s="75">
        <f t="shared" ref="L31:L42" si="32">(K31-H31*92%)*I31</f>
        <v>0</v>
      </c>
      <c r="M31" s="76">
        <f t="shared" ref="M31:M42" si="33">ROUND(I31*92%*H31,2)</f>
        <v>0</v>
      </c>
      <c r="N31" s="76">
        <f t="shared" ref="N31:N42" si="34">ROUND(+M31*0.11,2)</f>
        <v>0</v>
      </c>
      <c r="O31" s="77">
        <f t="shared" ref="O31:O42" si="35">+N31-L31</f>
        <v>0</v>
      </c>
      <c r="P31" s="77">
        <f t="shared" ref="P31:P42" si="36">ROUND(+O31*15%,2)</f>
        <v>0</v>
      </c>
      <c r="Q31" s="76">
        <f t="shared" ref="Q31:Q42" si="37">ROUND(+(O31-P31)*60%,2)</f>
        <v>0</v>
      </c>
      <c r="R31" s="76">
        <f t="shared" ref="R31:R42" si="38">ROUND(+(O31-P31)*40%,2)</f>
        <v>0</v>
      </c>
      <c r="S31" s="57">
        <f t="shared" ref="S31:S42" si="39">IFERROR(ROUND(+Q31/(I31/92%),3),0)</f>
        <v>0</v>
      </c>
    </row>
    <row r="32" spans="1:22" x14ac:dyDescent="0.4">
      <c r="A32" s="57"/>
      <c r="B32" s="57" t="str">
        <f t="shared" ref="B32:B42" si="40">+B31</f>
        <v>BAN1846</v>
      </c>
      <c r="C32" s="57"/>
      <c r="D32" s="57"/>
      <c r="E32" s="57"/>
      <c r="F32" s="71">
        <f t="shared" ref="F32:F42" si="41">IF(+DATE(YEAR(F31),MONTH(F31)+1,1)&gt;$G$1+1,0,+DATE(YEAR(F31),MONTH(F31)+1,1))</f>
        <v>61</v>
      </c>
      <c r="G32" s="72">
        <f t="shared" ref="G32:G42" si="42">ROUND(IF(F32=0,0,(G31+S31)),3)</f>
        <v>0</v>
      </c>
      <c r="H32" s="57">
        <f t="shared" si="29"/>
        <v>0</v>
      </c>
      <c r="I32" s="73">
        <f t="shared" si="30"/>
        <v>0</v>
      </c>
      <c r="J32" s="74">
        <v>22</v>
      </c>
      <c r="K32" s="57">
        <f t="shared" si="31"/>
        <v>0</v>
      </c>
      <c r="L32" s="75">
        <f t="shared" si="32"/>
        <v>0</v>
      </c>
      <c r="M32" s="76">
        <f t="shared" si="33"/>
        <v>0</v>
      </c>
      <c r="N32" s="76">
        <f t="shared" si="34"/>
        <v>0</v>
      </c>
      <c r="O32" s="77">
        <f t="shared" si="35"/>
        <v>0</v>
      </c>
      <c r="P32" s="77">
        <f t="shared" si="36"/>
        <v>0</v>
      </c>
      <c r="Q32" s="76">
        <f t="shared" si="37"/>
        <v>0</v>
      </c>
      <c r="R32" s="76">
        <f t="shared" si="38"/>
        <v>0</v>
      </c>
      <c r="S32" s="57">
        <f t="shared" si="39"/>
        <v>0</v>
      </c>
    </row>
    <row r="33" spans="1:19" x14ac:dyDescent="0.4">
      <c r="A33" s="57"/>
      <c r="B33" s="57" t="str">
        <f t="shared" si="40"/>
        <v>BAN1846</v>
      </c>
      <c r="C33" s="57"/>
      <c r="D33" s="57"/>
      <c r="E33" s="71"/>
      <c r="F33" s="71">
        <f t="shared" si="41"/>
        <v>92</v>
      </c>
      <c r="G33" s="72">
        <f t="shared" si="42"/>
        <v>0</v>
      </c>
      <c r="H33" s="57">
        <f t="shared" si="29"/>
        <v>0</v>
      </c>
      <c r="I33" s="73">
        <f t="shared" si="30"/>
        <v>0</v>
      </c>
      <c r="J33" s="74">
        <v>22</v>
      </c>
      <c r="K33" s="57">
        <f t="shared" si="31"/>
        <v>0</v>
      </c>
      <c r="L33" s="75">
        <f t="shared" si="32"/>
        <v>0</v>
      </c>
      <c r="M33" s="76">
        <f t="shared" si="33"/>
        <v>0</v>
      </c>
      <c r="N33" s="76">
        <f t="shared" si="34"/>
        <v>0</v>
      </c>
      <c r="O33" s="77">
        <f t="shared" si="35"/>
        <v>0</v>
      </c>
      <c r="P33" s="77">
        <f t="shared" si="36"/>
        <v>0</v>
      </c>
      <c r="Q33" s="76">
        <f t="shared" si="37"/>
        <v>0</v>
      </c>
      <c r="R33" s="76">
        <f t="shared" si="38"/>
        <v>0</v>
      </c>
      <c r="S33" s="57">
        <f t="shared" si="39"/>
        <v>0</v>
      </c>
    </row>
    <row r="34" spans="1:19" x14ac:dyDescent="0.4">
      <c r="A34" s="57"/>
      <c r="B34" s="57" t="str">
        <f t="shared" si="40"/>
        <v>BAN1846</v>
      </c>
      <c r="C34" s="57"/>
      <c r="D34" s="57"/>
      <c r="E34" s="57"/>
      <c r="F34" s="71">
        <f t="shared" si="41"/>
        <v>122</v>
      </c>
      <c r="G34" s="72">
        <f t="shared" si="42"/>
        <v>0</v>
      </c>
      <c r="H34" s="57">
        <f t="shared" si="29"/>
        <v>0</v>
      </c>
      <c r="I34" s="73">
        <f t="shared" si="30"/>
        <v>0</v>
      </c>
      <c r="J34" s="74">
        <v>22</v>
      </c>
      <c r="K34" s="57">
        <f t="shared" si="31"/>
        <v>0</v>
      </c>
      <c r="L34" s="75">
        <f t="shared" si="32"/>
        <v>0</v>
      </c>
      <c r="M34" s="76">
        <f t="shared" si="33"/>
        <v>0</v>
      </c>
      <c r="N34" s="76">
        <f t="shared" si="34"/>
        <v>0</v>
      </c>
      <c r="O34" s="77">
        <f t="shared" si="35"/>
        <v>0</v>
      </c>
      <c r="P34" s="77">
        <f t="shared" si="36"/>
        <v>0</v>
      </c>
      <c r="Q34" s="76">
        <f t="shared" si="37"/>
        <v>0</v>
      </c>
      <c r="R34" s="76">
        <f t="shared" si="38"/>
        <v>0</v>
      </c>
      <c r="S34" s="57">
        <f t="shared" si="39"/>
        <v>0</v>
      </c>
    </row>
    <row r="35" spans="1:19" x14ac:dyDescent="0.4">
      <c r="A35" s="57"/>
      <c r="B35" s="57" t="str">
        <f t="shared" si="40"/>
        <v>BAN1846</v>
      </c>
      <c r="C35" s="71"/>
      <c r="D35" s="57"/>
      <c r="E35" s="57"/>
      <c r="F35" s="71">
        <f t="shared" si="41"/>
        <v>153</v>
      </c>
      <c r="G35" s="72">
        <f t="shared" si="42"/>
        <v>0</v>
      </c>
      <c r="H35" s="57">
        <f t="shared" si="29"/>
        <v>0</v>
      </c>
      <c r="I35" s="73">
        <f t="shared" si="30"/>
        <v>0</v>
      </c>
      <c r="J35" s="74">
        <v>22</v>
      </c>
      <c r="K35" s="57">
        <f t="shared" si="31"/>
        <v>0</v>
      </c>
      <c r="L35" s="75">
        <f t="shared" si="32"/>
        <v>0</v>
      </c>
      <c r="M35" s="76">
        <f t="shared" si="33"/>
        <v>0</v>
      </c>
      <c r="N35" s="76">
        <f t="shared" si="34"/>
        <v>0</v>
      </c>
      <c r="O35" s="77">
        <f t="shared" si="35"/>
        <v>0</v>
      </c>
      <c r="P35" s="77">
        <f t="shared" si="36"/>
        <v>0</v>
      </c>
      <c r="Q35" s="76">
        <f t="shared" si="37"/>
        <v>0</v>
      </c>
      <c r="R35" s="76">
        <f t="shared" si="38"/>
        <v>0</v>
      </c>
      <c r="S35" s="57">
        <f t="shared" si="39"/>
        <v>0</v>
      </c>
    </row>
    <row r="36" spans="1:19" x14ac:dyDescent="0.4">
      <c r="A36" s="57"/>
      <c r="B36" s="57" t="str">
        <f t="shared" si="40"/>
        <v>BAN1846</v>
      </c>
      <c r="C36" s="57"/>
      <c r="D36" s="57"/>
      <c r="E36" s="57"/>
      <c r="F36" s="71">
        <f t="shared" si="41"/>
        <v>183</v>
      </c>
      <c r="G36" s="72">
        <f t="shared" si="42"/>
        <v>0</v>
      </c>
      <c r="H36" s="57">
        <f t="shared" si="29"/>
        <v>0</v>
      </c>
      <c r="I36" s="73">
        <f t="shared" si="30"/>
        <v>0</v>
      </c>
      <c r="J36" s="74">
        <v>22</v>
      </c>
      <c r="K36" s="57">
        <f t="shared" si="31"/>
        <v>0</v>
      </c>
      <c r="L36" s="75">
        <f t="shared" si="32"/>
        <v>0</v>
      </c>
      <c r="M36" s="76">
        <f t="shared" si="33"/>
        <v>0</v>
      </c>
      <c r="N36" s="76">
        <f t="shared" si="34"/>
        <v>0</v>
      </c>
      <c r="O36" s="77">
        <f t="shared" si="35"/>
        <v>0</v>
      </c>
      <c r="P36" s="77">
        <f t="shared" si="36"/>
        <v>0</v>
      </c>
      <c r="Q36" s="76">
        <f t="shared" si="37"/>
        <v>0</v>
      </c>
      <c r="R36" s="76">
        <f t="shared" si="38"/>
        <v>0</v>
      </c>
      <c r="S36" s="57">
        <f t="shared" si="39"/>
        <v>0</v>
      </c>
    </row>
    <row r="37" spans="1:19" x14ac:dyDescent="0.4">
      <c r="A37" s="57"/>
      <c r="B37" s="57" t="str">
        <f t="shared" si="40"/>
        <v>BAN1846</v>
      </c>
      <c r="C37" s="57"/>
      <c r="D37" s="57"/>
      <c r="E37" s="57"/>
      <c r="F37" s="71">
        <f t="shared" si="41"/>
        <v>214</v>
      </c>
      <c r="G37" s="72">
        <f t="shared" si="42"/>
        <v>0</v>
      </c>
      <c r="H37" s="57">
        <f t="shared" si="29"/>
        <v>0</v>
      </c>
      <c r="I37" s="73">
        <f t="shared" si="30"/>
        <v>0</v>
      </c>
      <c r="J37" s="74">
        <v>22</v>
      </c>
      <c r="K37" s="57">
        <f t="shared" si="31"/>
        <v>0</v>
      </c>
      <c r="L37" s="75">
        <f t="shared" si="32"/>
        <v>0</v>
      </c>
      <c r="M37" s="76">
        <f t="shared" si="33"/>
        <v>0</v>
      </c>
      <c r="N37" s="76">
        <f t="shared" si="34"/>
        <v>0</v>
      </c>
      <c r="O37" s="77">
        <f t="shared" si="35"/>
        <v>0</v>
      </c>
      <c r="P37" s="77">
        <f t="shared" si="36"/>
        <v>0</v>
      </c>
      <c r="Q37" s="76">
        <f t="shared" si="37"/>
        <v>0</v>
      </c>
      <c r="R37" s="76">
        <f t="shared" si="38"/>
        <v>0</v>
      </c>
      <c r="S37" s="57">
        <f t="shared" si="39"/>
        <v>0</v>
      </c>
    </row>
    <row r="38" spans="1:19" x14ac:dyDescent="0.4">
      <c r="A38" s="57"/>
      <c r="B38" s="57" t="str">
        <f t="shared" si="40"/>
        <v>BAN1846</v>
      </c>
      <c r="C38" s="57"/>
      <c r="D38" s="79"/>
      <c r="E38" s="57"/>
      <c r="F38" s="71">
        <f t="shared" si="41"/>
        <v>245</v>
      </c>
      <c r="G38" s="72">
        <f t="shared" si="42"/>
        <v>0</v>
      </c>
      <c r="H38" s="57">
        <f t="shared" si="29"/>
        <v>0</v>
      </c>
      <c r="I38" s="73">
        <f t="shared" si="30"/>
        <v>0</v>
      </c>
      <c r="J38" s="74">
        <v>22</v>
      </c>
      <c r="K38" s="57">
        <f t="shared" si="31"/>
        <v>0</v>
      </c>
      <c r="L38" s="75">
        <f t="shared" si="32"/>
        <v>0</v>
      </c>
      <c r="M38" s="76">
        <f t="shared" si="33"/>
        <v>0</v>
      </c>
      <c r="N38" s="76">
        <f t="shared" si="34"/>
        <v>0</v>
      </c>
      <c r="O38" s="77">
        <f t="shared" si="35"/>
        <v>0</v>
      </c>
      <c r="P38" s="77">
        <f t="shared" si="36"/>
        <v>0</v>
      </c>
      <c r="Q38" s="76">
        <f t="shared" si="37"/>
        <v>0</v>
      </c>
      <c r="R38" s="76">
        <f t="shared" si="38"/>
        <v>0</v>
      </c>
      <c r="S38" s="57">
        <f t="shared" si="39"/>
        <v>0</v>
      </c>
    </row>
    <row r="39" spans="1:19" x14ac:dyDescent="0.4">
      <c r="A39" s="57"/>
      <c r="B39" s="57" t="str">
        <f t="shared" si="40"/>
        <v>BAN1846</v>
      </c>
      <c r="C39" s="57"/>
      <c r="D39" s="79"/>
      <c r="E39" s="57"/>
      <c r="F39" s="71">
        <f t="shared" si="41"/>
        <v>275</v>
      </c>
      <c r="G39" s="72">
        <f t="shared" si="42"/>
        <v>0</v>
      </c>
      <c r="H39" s="57">
        <f t="shared" si="29"/>
        <v>0</v>
      </c>
      <c r="I39" s="73">
        <f t="shared" si="30"/>
        <v>0</v>
      </c>
      <c r="J39" s="74">
        <v>22</v>
      </c>
      <c r="K39" s="57">
        <f t="shared" si="31"/>
        <v>0</v>
      </c>
      <c r="L39" s="75">
        <f t="shared" si="32"/>
        <v>0</v>
      </c>
      <c r="M39" s="76">
        <f t="shared" si="33"/>
        <v>0</v>
      </c>
      <c r="N39" s="76">
        <f t="shared" si="34"/>
        <v>0</v>
      </c>
      <c r="O39" s="77">
        <f t="shared" si="35"/>
        <v>0</v>
      </c>
      <c r="P39" s="77">
        <f t="shared" si="36"/>
        <v>0</v>
      </c>
      <c r="Q39" s="76">
        <f t="shared" si="37"/>
        <v>0</v>
      </c>
      <c r="R39" s="76">
        <f t="shared" si="38"/>
        <v>0</v>
      </c>
      <c r="S39" s="57">
        <f t="shared" si="39"/>
        <v>0</v>
      </c>
    </row>
    <row r="40" spans="1:19" x14ac:dyDescent="0.4">
      <c r="A40" s="57"/>
      <c r="B40" s="57" t="str">
        <f t="shared" si="40"/>
        <v>BAN1846</v>
      </c>
      <c r="C40" s="57"/>
      <c r="D40" s="57"/>
      <c r="E40" s="57"/>
      <c r="F40" s="71">
        <f t="shared" si="41"/>
        <v>306</v>
      </c>
      <c r="G40" s="72">
        <f t="shared" si="42"/>
        <v>0</v>
      </c>
      <c r="H40" s="57">
        <f t="shared" si="29"/>
        <v>0</v>
      </c>
      <c r="I40" s="73">
        <f t="shared" si="30"/>
        <v>0</v>
      </c>
      <c r="J40" s="74">
        <v>22</v>
      </c>
      <c r="K40" s="57">
        <f t="shared" si="31"/>
        <v>0</v>
      </c>
      <c r="L40" s="75">
        <f t="shared" si="32"/>
        <v>0</v>
      </c>
      <c r="M40" s="76">
        <f t="shared" si="33"/>
        <v>0</v>
      </c>
      <c r="N40" s="76">
        <f t="shared" si="34"/>
        <v>0</v>
      </c>
      <c r="O40" s="77">
        <f t="shared" si="35"/>
        <v>0</v>
      </c>
      <c r="P40" s="77">
        <f t="shared" si="36"/>
        <v>0</v>
      </c>
      <c r="Q40" s="76">
        <f t="shared" si="37"/>
        <v>0</v>
      </c>
      <c r="R40" s="76">
        <f t="shared" si="38"/>
        <v>0</v>
      </c>
      <c r="S40" s="57">
        <f t="shared" si="39"/>
        <v>0</v>
      </c>
    </row>
    <row r="41" spans="1:19" x14ac:dyDescent="0.4">
      <c r="A41" s="57"/>
      <c r="B41" s="57" t="str">
        <f t="shared" si="40"/>
        <v>BAN1846</v>
      </c>
      <c r="C41" s="57"/>
      <c r="D41" s="57"/>
      <c r="E41" s="57"/>
      <c r="F41" s="71">
        <f t="shared" si="41"/>
        <v>336</v>
      </c>
      <c r="G41" s="72">
        <f t="shared" si="42"/>
        <v>0</v>
      </c>
      <c r="H41" s="57">
        <f t="shared" si="29"/>
        <v>0</v>
      </c>
      <c r="I41" s="73">
        <f t="shared" si="30"/>
        <v>0</v>
      </c>
      <c r="J41" s="74">
        <v>22</v>
      </c>
      <c r="K41" s="57">
        <f t="shared" si="31"/>
        <v>0</v>
      </c>
      <c r="L41" s="75">
        <f t="shared" si="32"/>
        <v>0</v>
      </c>
      <c r="M41" s="76">
        <f t="shared" si="33"/>
        <v>0</v>
      </c>
      <c r="N41" s="76">
        <f t="shared" si="34"/>
        <v>0</v>
      </c>
      <c r="O41" s="77">
        <f t="shared" si="35"/>
        <v>0</v>
      </c>
      <c r="P41" s="77">
        <f t="shared" si="36"/>
        <v>0</v>
      </c>
      <c r="Q41" s="76">
        <f t="shared" si="37"/>
        <v>0</v>
      </c>
      <c r="R41" s="76">
        <f t="shared" si="38"/>
        <v>0</v>
      </c>
      <c r="S41" s="57">
        <f t="shared" si="39"/>
        <v>0</v>
      </c>
    </row>
    <row r="42" spans="1:19" x14ac:dyDescent="0.4">
      <c r="A42" s="57"/>
      <c r="B42" s="57" t="str">
        <f t="shared" si="40"/>
        <v>BAN1846</v>
      </c>
      <c r="C42" s="57"/>
      <c r="D42" s="57"/>
      <c r="E42" s="57"/>
      <c r="F42" s="71">
        <f t="shared" si="41"/>
        <v>367</v>
      </c>
      <c r="G42" s="72">
        <f t="shared" si="42"/>
        <v>0</v>
      </c>
      <c r="H42" s="57">
        <f t="shared" si="29"/>
        <v>0</v>
      </c>
      <c r="I42" s="73">
        <f t="shared" si="30"/>
        <v>0</v>
      </c>
      <c r="J42" s="74">
        <v>22</v>
      </c>
      <c r="K42" s="57">
        <f t="shared" si="31"/>
        <v>0</v>
      </c>
      <c r="L42" s="75">
        <f t="shared" si="32"/>
        <v>0</v>
      </c>
      <c r="M42" s="76">
        <f t="shared" si="33"/>
        <v>0</v>
      </c>
      <c r="N42" s="76">
        <f t="shared" si="34"/>
        <v>0</v>
      </c>
      <c r="O42" s="77">
        <f t="shared" si="35"/>
        <v>0</v>
      </c>
      <c r="P42" s="77">
        <f t="shared" si="36"/>
        <v>0</v>
      </c>
      <c r="Q42" s="76">
        <f t="shared" si="37"/>
        <v>0</v>
      </c>
      <c r="R42" s="76">
        <f t="shared" si="38"/>
        <v>0</v>
      </c>
      <c r="S42" s="57">
        <f t="shared" si="39"/>
        <v>0</v>
      </c>
    </row>
    <row r="43" spans="1:19" x14ac:dyDescent="0.4">
      <c r="B43" s="57"/>
    </row>
    <row r="44" spans="1:19" ht="123" customHeight="1" x14ac:dyDescent="0.4">
      <c r="A44" s="69" t="s">
        <v>11</v>
      </c>
      <c r="B44" s="69" t="s">
        <v>11</v>
      </c>
      <c r="C44" s="69" t="s">
        <v>155</v>
      </c>
      <c r="D44" s="69" t="s">
        <v>158</v>
      </c>
      <c r="E44" s="69" t="s">
        <v>185</v>
      </c>
      <c r="F44" s="69" t="s">
        <v>186</v>
      </c>
      <c r="G44" s="70" t="s">
        <v>156</v>
      </c>
      <c r="H44" s="69" t="s">
        <v>187</v>
      </c>
      <c r="I44" s="69" t="s">
        <v>188</v>
      </c>
      <c r="J44" s="69" t="s">
        <v>158</v>
      </c>
      <c r="K44" s="69" t="s">
        <v>159</v>
      </c>
      <c r="L44" s="69" t="s">
        <v>160</v>
      </c>
      <c r="M44" s="69" t="s">
        <v>161</v>
      </c>
      <c r="N44" s="69" t="s">
        <v>162</v>
      </c>
      <c r="O44" s="69" t="s">
        <v>163</v>
      </c>
      <c r="P44" s="69" t="s">
        <v>164</v>
      </c>
      <c r="Q44" s="69" t="s">
        <v>165</v>
      </c>
      <c r="R44" s="69" t="s">
        <v>166</v>
      </c>
      <c r="S44" s="69" t="s">
        <v>189</v>
      </c>
    </row>
    <row r="45" spans="1:19" x14ac:dyDescent="0.4">
      <c r="A45" s="57">
        <f>+A31+1</f>
        <v>4</v>
      </c>
      <c r="B45" s="57" t="str">
        <f>INDEX('sale resgister'!B:B,A45+1,1)</f>
        <v>BAN1845</v>
      </c>
      <c r="C45" s="71">
        <f>+VLOOKUP(B45,'sale resgister'!B:J,9,0)</f>
        <v>0</v>
      </c>
      <c r="D45" s="79" t="str">
        <f>+VLOOKUP(B45,'sale resgister'!B:J,2,0)</f>
        <v>Batch 1</v>
      </c>
      <c r="E45" s="96">
        <f>IF(C45=0,0,VLOOKUP(B45,'sale resgister'!B:J,4,0))</f>
        <v>0</v>
      </c>
      <c r="F45" s="71">
        <f>DATE(YEAR(C45),MONTH(C45)+1,1)</f>
        <v>32</v>
      </c>
      <c r="G45" s="72">
        <f>E45</f>
        <v>0</v>
      </c>
      <c r="H45" s="57">
        <f t="shared" ref="H45:H56" si="43">ROUND(+G45*$H$1,3)</f>
        <v>0</v>
      </c>
      <c r="I45" s="73">
        <f t="shared" ref="I45:I56" si="44">IFERROR(+VLOOKUP(F45,$W$3:$X$15,2,0),0)</f>
        <v>0</v>
      </c>
      <c r="J45" s="74">
        <v>22</v>
      </c>
      <c r="K45" s="57">
        <f t="shared" ref="K45:K56" si="45">ROUND(+H45*97%,3)</f>
        <v>0</v>
      </c>
      <c r="L45" s="75">
        <f t="shared" ref="L45:L56" si="46">(K45-H45*92%)*I45</f>
        <v>0</v>
      </c>
      <c r="M45" s="76">
        <f t="shared" ref="M45:M56" si="47">ROUND(I45*92%*H45,2)</f>
        <v>0</v>
      </c>
      <c r="N45" s="76">
        <f t="shared" ref="N45:N56" si="48">ROUND(+M45*0.11,2)</f>
        <v>0</v>
      </c>
      <c r="O45" s="77">
        <f t="shared" ref="O45:O56" si="49">+N45-L45</f>
        <v>0</v>
      </c>
      <c r="P45" s="77">
        <f t="shared" ref="P45:P56" si="50">ROUND(+O45*15%,2)</f>
        <v>0</v>
      </c>
      <c r="Q45" s="76">
        <f t="shared" ref="Q45:Q56" si="51">ROUND(+(O45-P45)*60%,2)</f>
        <v>0</v>
      </c>
      <c r="R45" s="76">
        <f t="shared" ref="R45:R56" si="52">ROUND(+(O45-P45)*40%,2)</f>
        <v>0</v>
      </c>
      <c r="S45" s="57">
        <f t="shared" ref="S45:S56" si="53">IFERROR(ROUND(+Q45/(I45/92%),3),0)</f>
        <v>0</v>
      </c>
    </row>
    <row r="46" spans="1:19" x14ac:dyDescent="0.4">
      <c r="A46" s="57"/>
      <c r="B46" s="57" t="str">
        <f t="shared" ref="B46:B56" si="54">+B45</f>
        <v>BAN1845</v>
      </c>
      <c r="C46" s="57"/>
      <c r="D46" s="57"/>
      <c r="E46" s="57"/>
      <c r="F46" s="71">
        <f t="shared" ref="F46:F56" si="55">IF(+DATE(YEAR(F45),MONTH(F45)+1,1)&gt;$G$1+1,0,+DATE(YEAR(F45),MONTH(F45)+1,1))</f>
        <v>61</v>
      </c>
      <c r="G46" s="72">
        <f t="shared" ref="G46:G56" si="56">ROUND(IF(F46=0,0,(G45+S45)),3)</f>
        <v>0</v>
      </c>
      <c r="H46" s="57">
        <f t="shared" si="43"/>
        <v>0</v>
      </c>
      <c r="I46" s="73">
        <f t="shared" si="44"/>
        <v>0</v>
      </c>
      <c r="J46" s="74">
        <v>22</v>
      </c>
      <c r="K46" s="57">
        <f t="shared" si="45"/>
        <v>0</v>
      </c>
      <c r="L46" s="75">
        <f t="shared" si="46"/>
        <v>0</v>
      </c>
      <c r="M46" s="76">
        <f t="shared" si="47"/>
        <v>0</v>
      </c>
      <c r="N46" s="76">
        <f t="shared" si="48"/>
        <v>0</v>
      </c>
      <c r="O46" s="77">
        <f t="shared" si="49"/>
        <v>0</v>
      </c>
      <c r="P46" s="77">
        <f t="shared" si="50"/>
        <v>0</v>
      </c>
      <c r="Q46" s="76">
        <f t="shared" si="51"/>
        <v>0</v>
      </c>
      <c r="R46" s="76">
        <f t="shared" si="52"/>
        <v>0</v>
      </c>
      <c r="S46" s="57">
        <f t="shared" si="53"/>
        <v>0</v>
      </c>
    </row>
    <row r="47" spans="1:19" x14ac:dyDescent="0.4">
      <c r="A47" s="57"/>
      <c r="B47" s="57" t="str">
        <f t="shared" si="54"/>
        <v>BAN1845</v>
      </c>
      <c r="C47" s="57"/>
      <c r="D47" s="57"/>
      <c r="E47" s="71"/>
      <c r="F47" s="71">
        <f t="shared" si="55"/>
        <v>92</v>
      </c>
      <c r="G47" s="72">
        <f t="shared" si="56"/>
        <v>0</v>
      </c>
      <c r="H47" s="57">
        <f t="shared" si="43"/>
        <v>0</v>
      </c>
      <c r="I47" s="73">
        <f t="shared" si="44"/>
        <v>0</v>
      </c>
      <c r="J47" s="74">
        <v>22</v>
      </c>
      <c r="K47" s="57">
        <f t="shared" si="45"/>
        <v>0</v>
      </c>
      <c r="L47" s="75">
        <f t="shared" si="46"/>
        <v>0</v>
      </c>
      <c r="M47" s="76">
        <f t="shared" si="47"/>
        <v>0</v>
      </c>
      <c r="N47" s="76">
        <f t="shared" si="48"/>
        <v>0</v>
      </c>
      <c r="O47" s="77">
        <f t="shared" si="49"/>
        <v>0</v>
      </c>
      <c r="P47" s="77">
        <f t="shared" si="50"/>
        <v>0</v>
      </c>
      <c r="Q47" s="76">
        <f t="shared" si="51"/>
        <v>0</v>
      </c>
      <c r="R47" s="76">
        <f t="shared" si="52"/>
        <v>0</v>
      </c>
      <c r="S47" s="57">
        <f t="shared" si="53"/>
        <v>0</v>
      </c>
    </row>
    <row r="48" spans="1:19" x14ac:dyDescent="0.4">
      <c r="A48" s="57"/>
      <c r="B48" s="57" t="str">
        <f t="shared" si="54"/>
        <v>BAN1845</v>
      </c>
      <c r="C48" s="57"/>
      <c r="D48" s="57"/>
      <c r="E48" s="57"/>
      <c r="F48" s="71">
        <f t="shared" si="55"/>
        <v>122</v>
      </c>
      <c r="G48" s="72">
        <f t="shared" si="56"/>
        <v>0</v>
      </c>
      <c r="H48" s="57">
        <f t="shared" si="43"/>
        <v>0</v>
      </c>
      <c r="I48" s="73">
        <f t="shared" si="44"/>
        <v>0</v>
      </c>
      <c r="J48" s="74">
        <v>22</v>
      </c>
      <c r="K48" s="57">
        <f t="shared" si="45"/>
        <v>0</v>
      </c>
      <c r="L48" s="75">
        <f t="shared" si="46"/>
        <v>0</v>
      </c>
      <c r="M48" s="76">
        <f t="shared" si="47"/>
        <v>0</v>
      </c>
      <c r="N48" s="76">
        <f t="shared" si="48"/>
        <v>0</v>
      </c>
      <c r="O48" s="77">
        <f t="shared" si="49"/>
        <v>0</v>
      </c>
      <c r="P48" s="77">
        <f t="shared" si="50"/>
        <v>0</v>
      </c>
      <c r="Q48" s="76">
        <f t="shared" si="51"/>
        <v>0</v>
      </c>
      <c r="R48" s="76">
        <f t="shared" si="52"/>
        <v>0</v>
      </c>
      <c r="S48" s="57">
        <f t="shared" si="53"/>
        <v>0</v>
      </c>
    </row>
    <row r="49" spans="1:19" x14ac:dyDescent="0.4">
      <c r="A49" s="57"/>
      <c r="B49" s="57" t="str">
        <f t="shared" si="54"/>
        <v>BAN1845</v>
      </c>
      <c r="C49" s="71"/>
      <c r="D49" s="57"/>
      <c r="E49" s="57"/>
      <c r="F49" s="71">
        <f t="shared" si="55"/>
        <v>153</v>
      </c>
      <c r="G49" s="72">
        <f t="shared" si="56"/>
        <v>0</v>
      </c>
      <c r="H49" s="57">
        <f t="shared" si="43"/>
        <v>0</v>
      </c>
      <c r="I49" s="73">
        <f t="shared" si="44"/>
        <v>0</v>
      </c>
      <c r="J49" s="74">
        <v>22</v>
      </c>
      <c r="K49" s="57">
        <f t="shared" si="45"/>
        <v>0</v>
      </c>
      <c r="L49" s="75">
        <f t="shared" si="46"/>
        <v>0</v>
      </c>
      <c r="M49" s="76">
        <f t="shared" si="47"/>
        <v>0</v>
      </c>
      <c r="N49" s="76">
        <f t="shared" si="48"/>
        <v>0</v>
      </c>
      <c r="O49" s="77">
        <f t="shared" si="49"/>
        <v>0</v>
      </c>
      <c r="P49" s="77">
        <f t="shared" si="50"/>
        <v>0</v>
      </c>
      <c r="Q49" s="76">
        <f t="shared" si="51"/>
        <v>0</v>
      </c>
      <c r="R49" s="76">
        <f t="shared" si="52"/>
        <v>0</v>
      </c>
      <c r="S49" s="57">
        <f t="shared" si="53"/>
        <v>0</v>
      </c>
    </row>
    <row r="50" spans="1:19" x14ac:dyDescent="0.4">
      <c r="A50" s="57"/>
      <c r="B50" s="57" t="str">
        <f t="shared" si="54"/>
        <v>BAN1845</v>
      </c>
      <c r="C50" s="57"/>
      <c r="D50" s="57"/>
      <c r="E50" s="57"/>
      <c r="F50" s="71">
        <f t="shared" si="55"/>
        <v>183</v>
      </c>
      <c r="G50" s="72">
        <f t="shared" si="56"/>
        <v>0</v>
      </c>
      <c r="H50" s="57">
        <f t="shared" si="43"/>
        <v>0</v>
      </c>
      <c r="I50" s="73">
        <f t="shared" si="44"/>
        <v>0</v>
      </c>
      <c r="J50" s="74">
        <v>22</v>
      </c>
      <c r="K50" s="57">
        <f t="shared" si="45"/>
        <v>0</v>
      </c>
      <c r="L50" s="75">
        <f t="shared" si="46"/>
        <v>0</v>
      </c>
      <c r="M50" s="76">
        <f t="shared" si="47"/>
        <v>0</v>
      </c>
      <c r="N50" s="76">
        <f t="shared" si="48"/>
        <v>0</v>
      </c>
      <c r="O50" s="77">
        <f t="shared" si="49"/>
        <v>0</v>
      </c>
      <c r="P50" s="77">
        <f t="shared" si="50"/>
        <v>0</v>
      </c>
      <c r="Q50" s="76">
        <f t="shared" si="51"/>
        <v>0</v>
      </c>
      <c r="R50" s="76">
        <f t="shared" si="52"/>
        <v>0</v>
      </c>
      <c r="S50" s="57">
        <f t="shared" si="53"/>
        <v>0</v>
      </c>
    </row>
    <row r="51" spans="1:19" x14ac:dyDescent="0.4">
      <c r="A51" s="57"/>
      <c r="B51" s="57" t="str">
        <f t="shared" si="54"/>
        <v>BAN1845</v>
      </c>
      <c r="C51" s="57"/>
      <c r="D51" s="57"/>
      <c r="E51" s="57"/>
      <c r="F51" s="71">
        <f t="shared" si="55"/>
        <v>214</v>
      </c>
      <c r="G51" s="72">
        <f t="shared" si="56"/>
        <v>0</v>
      </c>
      <c r="H51" s="57">
        <f t="shared" si="43"/>
        <v>0</v>
      </c>
      <c r="I51" s="73">
        <f t="shared" si="44"/>
        <v>0</v>
      </c>
      <c r="J51" s="74">
        <v>22</v>
      </c>
      <c r="K51" s="57">
        <f t="shared" si="45"/>
        <v>0</v>
      </c>
      <c r="L51" s="75">
        <f t="shared" si="46"/>
        <v>0</v>
      </c>
      <c r="M51" s="76">
        <f t="shared" si="47"/>
        <v>0</v>
      </c>
      <c r="N51" s="76">
        <f t="shared" si="48"/>
        <v>0</v>
      </c>
      <c r="O51" s="77">
        <f t="shared" si="49"/>
        <v>0</v>
      </c>
      <c r="P51" s="77">
        <f t="shared" si="50"/>
        <v>0</v>
      </c>
      <c r="Q51" s="76">
        <f t="shared" si="51"/>
        <v>0</v>
      </c>
      <c r="R51" s="76">
        <f t="shared" si="52"/>
        <v>0</v>
      </c>
      <c r="S51" s="57">
        <f t="shared" si="53"/>
        <v>0</v>
      </c>
    </row>
    <row r="52" spans="1:19" x14ac:dyDescent="0.4">
      <c r="A52" s="57"/>
      <c r="B52" s="57" t="str">
        <f t="shared" si="54"/>
        <v>BAN1845</v>
      </c>
      <c r="C52" s="57"/>
      <c r="D52" s="79"/>
      <c r="E52" s="57"/>
      <c r="F52" s="71">
        <f t="shared" si="55"/>
        <v>245</v>
      </c>
      <c r="G52" s="72">
        <f t="shared" si="56"/>
        <v>0</v>
      </c>
      <c r="H52" s="57">
        <f t="shared" si="43"/>
        <v>0</v>
      </c>
      <c r="I52" s="73">
        <f t="shared" si="44"/>
        <v>0</v>
      </c>
      <c r="J52" s="74">
        <v>22</v>
      </c>
      <c r="K52" s="57">
        <f t="shared" si="45"/>
        <v>0</v>
      </c>
      <c r="L52" s="75">
        <f t="shared" si="46"/>
        <v>0</v>
      </c>
      <c r="M52" s="76">
        <f t="shared" si="47"/>
        <v>0</v>
      </c>
      <c r="N52" s="76">
        <f t="shared" si="48"/>
        <v>0</v>
      </c>
      <c r="O52" s="77">
        <f t="shared" si="49"/>
        <v>0</v>
      </c>
      <c r="P52" s="77">
        <f t="shared" si="50"/>
        <v>0</v>
      </c>
      <c r="Q52" s="76">
        <f t="shared" si="51"/>
        <v>0</v>
      </c>
      <c r="R52" s="76">
        <f t="shared" si="52"/>
        <v>0</v>
      </c>
      <c r="S52" s="57">
        <f t="shared" si="53"/>
        <v>0</v>
      </c>
    </row>
    <row r="53" spans="1:19" x14ac:dyDescent="0.4">
      <c r="A53" s="57"/>
      <c r="B53" s="57" t="str">
        <f t="shared" si="54"/>
        <v>BAN1845</v>
      </c>
      <c r="C53" s="57"/>
      <c r="D53" s="79"/>
      <c r="E53" s="57"/>
      <c r="F53" s="71">
        <f t="shared" si="55"/>
        <v>275</v>
      </c>
      <c r="G53" s="72">
        <f t="shared" si="56"/>
        <v>0</v>
      </c>
      <c r="H53" s="57">
        <f t="shared" si="43"/>
        <v>0</v>
      </c>
      <c r="I53" s="73">
        <f t="shared" si="44"/>
        <v>0</v>
      </c>
      <c r="J53" s="74">
        <v>22</v>
      </c>
      <c r="K53" s="57">
        <f t="shared" si="45"/>
        <v>0</v>
      </c>
      <c r="L53" s="75">
        <f t="shared" si="46"/>
        <v>0</v>
      </c>
      <c r="M53" s="76">
        <f t="shared" si="47"/>
        <v>0</v>
      </c>
      <c r="N53" s="76">
        <f t="shared" si="48"/>
        <v>0</v>
      </c>
      <c r="O53" s="77">
        <f t="shared" si="49"/>
        <v>0</v>
      </c>
      <c r="P53" s="77">
        <f t="shared" si="50"/>
        <v>0</v>
      </c>
      <c r="Q53" s="76">
        <f t="shared" si="51"/>
        <v>0</v>
      </c>
      <c r="R53" s="76">
        <f t="shared" si="52"/>
        <v>0</v>
      </c>
      <c r="S53" s="57">
        <f t="shared" si="53"/>
        <v>0</v>
      </c>
    </row>
    <row r="54" spans="1:19" x14ac:dyDescent="0.4">
      <c r="A54" s="57"/>
      <c r="B54" s="57" t="str">
        <f t="shared" si="54"/>
        <v>BAN1845</v>
      </c>
      <c r="C54" s="57"/>
      <c r="D54" s="57"/>
      <c r="E54" s="57"/>
      <c r="F54" s="71">
        <f t="shared" si="55"/>
        <v>306</v>
      </c>
      <c r="G54" s="72">
        <f t="shared" si="56"/>
        <v>0</v>
      </c>
      <c r="H54" s="57">
        <f t="shared" si="43"/>
        <v>0</v>
      </c>
      <c r="I54" s="73">
        <f t="shared" si="44"/>
        <v>0</v>
      </c>
      <c r="J54" s="74">
        <v>22</v>
      </c>
      <c r="K54" s="57">
        <f t="shared" si="45"/>
        <v>0</v>
      </c>
      <c r="L54" s="75">
        <f t="shared" si="46"/>
        <v>0</v>
      </c>
      <c r="M54" s="76">
        <f t="shared" si="47"/>
        <v>0</v>
      </c>
      <c r="N54" s="76">
        <f t="shared" si="48"/>
        <v>0</v>
      </c>
      <c r="O54" s="77">
        <f t="shared" si="49"/>
        <v>0</v>
      </c>
      <c r="P54" s="77">
        <f t="shared" si="50"/>
        <v>0</v>
      </c>
      <c r="Q54" s="76">
        <f t="shared" si="51"/>
        <v>0</v>
      </c>
      <c r="R54" s="76">
        <f t="shared" si="52"/>
        <v>0</v>
      </c>
      <c r="S54" s="57">
        <f t="shared" si="53"/>
        <v>0</v>
      </c>
    </row>
    <row r="55" spans="1:19" x14ac:dyDescent="0.4">
      <c r="A55" s="57"/>
      <c r="B55" s="57" t="str">
        <f t="shared" si="54"/>
        <v>BAN1845</v>
      </c>
      <c r="C55" s="57"/>
      <c r="D55" s="57"/>
      <c r="E55" s="57"/>
      <c r="F55" s="71">
        <f t="shared" si="55"/>
        <v>336</v>
      </c>
      <c r="G55" s="72">
        <f t="shared" si="56"/>
        <v>0</v>
      </c>
      <c r="H55" s="57">
        <f t="shared" si="43"/>
        <v>0</v>
      </c>
      <c r="I55" s="73">
        <f t="shared" si="44"/>
        <v>0</v>
      </c>
      <c r="J55" s="74">
        <v>22</v>
      </c>
      <c r="K55" s="57">
        <f t="shared" si="45"/>
        <v>0</v>
      </c>
      <c r="L55" s="75">
        <f t="shared" si="46"/>
        <v>0</v>
      </c>
      <c r="M55" s="76">
        <f t="shared" si="47"/>
        <v>0</v>
      </c>
      <c r="N55" s="76">
        <f t="shared" si="48"/>
        <v>0</v>
      </c>
      <c r="O55" s="77">
        <f t="shared" si="49"/>
        <v>0</v>
      </c>
      <c r="P55" s="77">
        <f t="shared" si="50"/>
        <v>0</v>
      </c>
      <c r="Q55" s="76">
        <f t="shared" si="51"/>
        <v>0</v>
      </c>
      <c r="R55" s="76">
        <f t="shared" si="52"/>
        <v>0</v>
      </c>
      <c r="S55" s="57">
        <f t="shared" si="53"/>
        <v>0</v>
      </c>
    </row>
    <row r="56" spans="1:19" x14ac:dyDescent="0.4">
      <c r="A56" s="57"/>
      <c r="B56" s="57" t="str">
        <f t="shared" si="54"/>
        <v>BAN1845</v>
      </c>
      <c r="C56" s="57"/>
      <c r="D56" s="57"/>
      <c r="E56" s="57"/>
      <c r="F56" s="71">
        <f t="shared" si="55"/>
        <v>367</v>
      </c>
      <c r="G56" s="72">
        <f t="shared" si="56"/>
        <v>0</v>
      </c>
      <c r="H56" s="57">
        <f t="shared" si="43"/>
        <v>0</v>
      </c>
      <c r="I56" s="73">
        <f t="shared" si="44"/>
        <v>0</v>
      </c>
      <c r="J56" s="74">
        <v>22</v>
      </c>
      <c r="K56" s="57">
        <f t="shared" si="45"/>
        <v>0</v>
      </c>
      <c r="L56" s="75">
        <f t="shared" si="46"/>
        <v>0</v>
      </c>
      <c r="M56" s="76">
        <f t="shared" si="47"/>
        <v>0</v>
      </c>
      <c r="N56" s="76">
        <f t="shared" si="48"/>
        <v>0</v>
      </c>
      <c r="O56" s="77">
        <f t="shared" si="49"/>
        <v>0</v>
      </c>
      <c r="P56" s="77">
        <f t="shared" si="50"/>
        <v>0</v>
      </c>
      <c r="Q56" s="76">
        <f t="shared" si="51"/>
        <v>0</v>
      </c>
      <c r="R56" s="76">
        <f t="shared" si="52"/>
        <v>0</v>
      </c>
      <c r="S56" s="57">
        <f t="shared" si="53"/>
        <v>0</v>
      </c>
    </row>
    <row r="57" spans="1:19" x14ac:dyDescent="0.4">
      <c r="B57" s="57"/>
    </row>
    <row r="58" spans="1:19" ht="123" customHeight="1" x14ac:dyDescent="0.4">
      <c r="A58" s="69" t="s">
        <v>11</v>
      </c>
      <c r="B58" s="69" t="s">
        <v>11</v>
      </c>
      <c r="C58" s="69" t="s">
        <v>155</v>
      </c>
      <c r="D58" s="69" t="s">
        <v>158</v>
      </c>
      <c r="E58" s="69" t="s">
        <v>185</v>
      </c>
      <c r="F58" s="69" t="s">
        <v>186</v>
      </c>
      <c r="G58" s="70" t="s">
        <v>156</v>
      </c>
      <c r="H58" s="69" t="s">
        <v>187</v>
      </c>
      <c r="I58" s="69" t="s">
        <v>188</v>
      </c>
      <c r="J58" s="69" t="s">
        <v>158</v>
      </c>
      <c r="K58" s="69" t="s">
        <v>159</v>
      </c>
      <c r="L58" s="69" t="s">
        <v>160</v>
      </c>
      <c r="M58" s="69" t="s">
        <v>161</v>
      </c>
      <c r="N58" s="69" t="s">
        <v>162</v>
      </c>
      <c r="O58" s="69" t="s">
        <v>163</v>
      </c>
      <c r="P58" s="69" t="s">
        <v>164</v>
      </c>
      <c r="Q58" s="69" t="s">
        <v>165</v>
      </c>
      <c r="R58" s="69" t="s">
        <v>166</v>
      </c>
      <c r="S58" s="69" t="s">
        <v>189</v>
      </c>
    </row>
    <row r="59" spans="1:19" x14ac:dyDescent="0.4">
      <c r="A59" s="57">
        <f>+A45+1</f>
        <v>5</v>
      </c>
      <c r="B59" s="57" t="str">
        <f>INDEX('sale resgister'!B:B,A59+1,1)</f>
        <v>BAN1867(MBAN4/MBAN8)</v>
      </c>
      <c r="C59" s="71">
        <f>+VLOOKUP(B59,'sale resgister'!B:J,9,0)</f>
        <v>0</v>
      </c>
      <c r="D59" s="79" t="str">
        <f>+VLOOKUP(B59,'sale resgister'!B:J,2,0)</f>
        <v>Batch 1</v>
      </c>
      <c r="E59" s="96">
        <f>IF(C59=0,0,VLOOKUP(B59,'sale resgister'!B:J,4,0))</f>
        <v>0</v>
      </c>
      <c r="F59" s="71">
        <f>DATE(YEAR(C59),MONTH(C59)+1,1)</f>
        <v>32</v>
      </c>
      <c r="G59" s="72">
        <f>E59</f>
        <v>0</v>
      </c>
      <c r="H59" s="57">
        <f t="shared" ref="H59:H70" si="57">ROUND(+G59*$H$1,3)</f>
        <v>0</v>
      </c>
      <c r="I59" s="73">
        <f t="shared" ref="I59:I70" si="58">IFERROR(+VLOOKUP(F59,$W$3:$X$15,2,0),0)</f>
        <v>0</v>
      </c>
      <c r="J59" s="74">
        <v>22</v>
      </c>
      <c r="K59" s="57">
        <f t="shared" ref="K59:K70" si="59">ROUND(+H59*97%,3)</f>
        <v>0</v>
      </c>
      <c r="L59" s="75">
        <f t="shared" ref="L59:L70" si="60">(K59-H59*92%)*I59</f>
        <v>0</v>
      </c>
      <c r="M59" s="76">
        <f t="shared" ref="M59:M70" si="61">ROUND(I59*92%*H59,2)</f>
        <v>0</v>
      </c>
      <c r="N59" s="76">
        <f t="shared" ref="N59:N70" si="62">ROUND(+M59*0.11,2)</f>
        <v>0</v>
      </c>
      <c r="O59" s="77">
        <f t="shared" ref="O59:O70" si="63">+N59-L59</f>
        <v>0</v>
      </c>
      <c r="P59" s="77">
        <f t="shared" ref="P59:P70" si="64">ROUND(+O59*15%,2)</f>
        <v>0</v>
      </c>
      <c r="Q59" s="76">
        <f t="shared" ref="Q59:Q70" si="65">ROUND(+(O59-P59)*60%,2)</f>
        <v>0</v>
      </c>
      <c r="R59" s="76">
        <f t="shared" ref="R59:R70" si="66">ROUND(+(O59-P59)*40%,2)</f>
        <v>0</v>
      </c>
      <c r="S59" s="57">
        <f t="shared" ref="S59:S70" si="67">IFERROR(ROUND(+Q59/(I59/92%),3),0)</f>
        <v>0</v>
      </c>
    </row>
    <row r="60" spans="1:19" x14ac:dyDescent="0.4">
      <c r="A60" s="57"/>
      <c r="B60" s="57" t="str">
        <f t="shared" ref="B60:B70" si="68">+B59</f>
        <v>BAN1867(MBAN4/MBAN8)</v>
      </c>
      <c r="C60" s="57"/>
      <c r="D60" s="57"/>
      <c r="E60" s="57"/>
      <c r="F60" s="71">
        <f t="shared" ref="F60:F70" si="69">IF(+DATE(YEAR(F59),MONTH(F59)+1,1)&gt;$G$1+1,0,+DATE(YEAR(F59),MONTH(F59)+1,1))</f>
        <v>61</v>
      </c>
      <c r="G60" s="72">
        <f t="shared" ref="G60:G70" si="70">ROUND(IF(F60=0,0,(G59+S59)),3)</f>
        <v>0</v>
      </c>
      <c r="H60" s="57">
        <f t="shared" si="57"/>
        <v>0</v>
      </c>
      <c r="I60" s="73">
        <f t="shared" si="58"/>
        <v>0</v>
      </c>
      <c r="J60" s="74">
        <v>22</v>
      </c>
      <c r="K60" s="57">
        <f t="shared" si="59"/>
        <v>0</v>
      </c>
      <c r="L60" s="75">
        <f t="shared" si="60"/>
        <v>0</v>
      </c>
      <c r="M60" s="76">
        <f t="shared" si="61"/>
        <v>0</v>
      </c>
      <c r="N60" s="76">
        <f t="shared" si="62"/>
        <v>0</v>
      </c>
      <c r="O60" s="77">
        <f t="shared" si="63"/>
        <v>0</v>
      </c>
      <c r="P60" s="77">
        <f t="shared" si="64"/>
        <v>0</v>
      </c>
      <c r="Q60" s="76">
        <f t="shared" si="65"/>
        <v>0</v>
      </c>
      <c r="R60" s="76">
        <f t="shared" si="66"/>
        <v>0</v>
      </c>
      <c r="S60" s="57">
        <f t="shared" si="67"/>
        <v>0</v>
      </c>
    </row>
    <row r="61" spans="1:19" x14ac:dyDescent="0.4">
      <c r="A61" s="57"/>
      <c r="B61" s="57" t="str">
        <f t="shared" si="68"/>
        <v>BAN1867(MBAN4/MBAN8)</v>
      </c>
      <c r="C61" s="57"/>
      <c r="D61" s="57"/>
      <c r="E61" s="71"/>
      <c r="F61" s="71">
        <f t="shared" si="69"/>
        <v>92</v>
      </c>
      <c r="G61" s="72">
        <f t="shared" si="70"/>
        <v>0</v>
      </c>
      <c r="H61" s="57">
        <f t="shared" si="57"/>
        <v>0</v>
      </c>
      <c r="I61" s="73">
        <f t="shared" si="58"/>
        <v>0</v>
      </c>
      <c r="J61" s="74">
        <v>22</v>
      </c>
      <c r="K61" s="57">
        <f t="shared" si="59"/>
        <v>0</v>
      </c>
      <c r="L61" s="75">
        <f t="shared" si="60"/>
        <v>0</v>
      </c>
      <c r="M61" s="76">
        <f t="shared" si="61"/>
        <v>0</v>
      </c>
      <c r="N61" s="76">
        <f t="shared" si="62"/>
        <v>0</v>
      </c>
      <c r="O61" s="77">
        <f t="shared" si="63"/>
        <v>0</v>
      </c>
      <c r="P61" s="77">
        <f t="shared" si="64"/>
        <v>0</v>
      </c>
      <c r="Q61" s="76">
        <f t="shared" si="65"/>
        <v>0</v>
      </c>
      <c r="R61" s="76">
        <f t="shared" si="66"/>
        <v>0</v>
      </c>
      <c r="S61" s="57">
        <f t="shared" si="67"/>
        <v>0</v>
      </c>
    </row>
    <row r="62" spans="1:19" x14ac:dyDescent="0.4">
      <c r="A62" s="57"/>
      <c r="B62" s="57" t="str">
        <f t="shared" si="68"/>
        <v>BAN1867(MBAN4/MBAN8)</v>
      </c>
      <c r="C62" s="57"/>
      <c r="D62" s="57"/>
      <c r="E62" s="57"/>
      <c r="F62" s="71">
        <f t="shared" si="69"/>
        <v>122</v>
      </c>
      <c r="G62" s="72">
        <f t="shared" si="70"/>
        <v>0</v>
      </c>
      <c r="H62" s="57">
        <f t="shared" si="57"/>
        <v>0</v>
      </c>
      <c r="I62" s="73">
        <f t="shared" si="58"/>
        <v>0</v>
      </c>
      <c r="J62" s="74">
        <v>22</v>
      </c>
      <c r="K62" s="57">
        <f t="shared" si="59"/>
        <v>0</v>
      </c>
      <c r="L62" s="75">
        <f t="shared" si="60"/>
        <v>0</v>
      </c>
      <c r="M62" s="76">
        <f t="shared" si="61"/>
        <v>0</v>
      </c>
      <c r="N62" s="76">
        <f t="shared" si="62"/>
        <v>0</v>
      </c>
      <c r="O62" s="77">
        <f t="shared" si="63"/>
        <v>0</v>
      </c>
      <c r="P62" s="77">
        <f t="shared" si="64"/>
        <v>0</v>
      </c>
      <c r="Q62" s="76">
        <f t="shared" si="65"/>
        <v>0</v>
      </c>
      <c r="R62" s="76">
        <f t="shared" si="66"/>
        <v>0</v>
      </c>
      <c r="S62" s="57">
        <f t="shared" si="67"/>
        <v>0</v>
      </c>
    </row>
    <row r="63" spans="1:19" x14ac:dyDescent="0.4">
      <c r="A63" s="57"/>
      <c r="B63" s="57" t="str">
        <f t="shared" si="68"/>
        <v>BAN1867(MBAN4/MBAN8)</v>
      </c>
      <c r="C63" s="71"/>
      <c r="D63" s="57"/>
      <c r="E63" s="57"/>
      <c r="F63" s="71">
        <f t="shared" si="69"/>
        <v>153</v>
      </c>
      <c r="G63" s="72">
        <f t="shared" si="70"/>
        <v>0</v>
      </c>
      <c r="H63" s="57">
        <f t="shared" si="57"/>
        <v>0</v>
      </c>
      <c r="I63" s="73">
        <f t="shared" si="58"/>
        <v>0</v>
      </c>
      <c r="J63" s="74">
        <v>22</v>
      </c>
      <c r="K63" s="57">
        <f t="shared" si="59"/>
        <v>0</v>
      </c>
      <c r="L63" s="75">
        <f t="shared" si="60"/>
        <v>0</v>
      </c>
      <c r="M63" s="76">
        <f t="shared" si="61"/>
        <v>0</v>
      </c>
      <c r="N63" s="76">
        <f t="shared" si="62"/>
        <v>0</v>
      </c>
      <c r="O63" s="77">
        <f t="shared" si="63"/>
        <v>0</v>
      </c>
      <c r="P63" s="77">
        <f t="shared" si="64"/>
        <v>0</v>
      </c>
      <c r="Q63" s="76">
        <f t="shared" si="65"/>
        <v>0</v>
      </c>
      <c r="R63" s="76">
        <f t="shared" si="66"/>
        <v>0</v>
      </c>
      <c r="S63" s="57">
        <f t="shared" si="67"/>
        <v>0</v>
      </c>
    </row>
    <row r="64" spans="1:19" x14ac:dyDescent="0.4">
      <c r="A64" s="57"/>
      <c r="B64" s="57" t="str">
        <f t="shared" si="68"/>
        <v>BAN1867(MBAN4/MBAN8)</v>
      </c>
      <c r="C64" s="57"/>
      <c r="D64" s="57"/>
      <c r="E64" s="57"/>
      <c r="F64" s="71">
        <f t="shared" si="69"/>
        <v>183</v>
      </c>
      <c r="G64" s="72">
        <f t="shared" si="70"/>
        <v>0</v>
      </c>
      <c r="H64" s="57">
        <f t="shared" si="57"/>
        <v>0</v>
      </c>
      <c r="I64" s="73">
        <f t="shared" si="58"/>
        <v>0</v>
      </c>
      <c r="J64" s="74">
        <v>22</v>
      </c>
      <c r="K64" s="57">
        <f t="shared" si="59"/>
        <v>0</v>
      </c>
      <c r="L64" s="75">
        <f t="shared" si="60"/>
        <v>0</v>
      </c>
      <c r="M64" s="76">
        <f t="shared" si="61"/>
        <v>0</v>
      </c>
      <c r="N64" s="76">
        <f t="shared" si="62"/>
        <v>0</v>
      </c>
      <c r="O64" s="77">
        <f t="shared" si="63"/>
        <v>0</v>
      </c>
      <c r="P64" s="77">
        <f t="shared" si="64"/>
        <v>0</v>
      </c>
      <c r="Q64" s="76">
        <f t="shared" si="65"/>
        <v>0</v>
      </c>
      <c r="R64" s="76">
        <f t="shared" si="66"/>
        <v>0</v>
      </c>
      <c r="S64" s="57">
        <f t="shared" si="67"/>
        <v>0</v>
      </c>
    </row>
    <row r="65" spans="1:19" x14ac:dyDescent="0.4">
      <c r="A65" s="57"/>
      <c r="B65" s="57" t="str">
        <f t="shared" si="68"/>
        <v>BAN1867(MBAN4/MBAN8)</v>
      </c>
      <c r="C65" s="57"/>
      <c r="D65" s="57"/>
      <c r="E65" s="57"/>
      <c r="F65" s="71">
        <f t="shared" si="69"/>
        <v>214</v>
      </c>
      <c r="G65" s="72">
        <f t="shared" si="70"/>
        <v>0</v>
      </c>
      <c r="H65" s="57">
        <f t="shared" si="57"/>
        <v>0</v>
      </c>
      <c r="I65" s="73">
        <f t="shared" si="58"/>
        <v>0</v>
      </c>
      <c r="J65" s="74">
        <v>22</v>
      </c>
      <c r="K65" s="57">
        <f t="shared" si="59"/>
        <v>0</v>
      </c>
      <c r="L65" s="75">
        <f t="shared" si="60"/>
        <v>0</v>
      </c>
      <c r="M65" s="76">
        <f t="shared" si="61"/>
        <v>0</v>
      </c>
      <c r="N65" s="76">
        <f t="shared" si="62"/>
        <v>0</v>
      </c>
      <c r="O65" s="77">
        <f t="shared" si="63"/>
        <v>0</v>
      </c>
      <c r="P65" s="77">
        <f t="shared" si="64"/>
        <v>0</v>
      </c>
      <c r="Q65" s="76">
        <f t="shared" si="65"/>
        <v>0</v>
      </c>
      <c r="R65" s="76">
        <f t="shared" si="66"/>
        <v>0</v>
      </c>
      <c r="S65" s="57">
        <f t="shared" si="67"/>
        <v>0</v>
      </c>
    </row>
    <row r="66" spans="1:19" x14ac:dyDescent="0.4">
      <c r="A66" s="57"/>
      <c r="B66" s="57" t="str">
        <f t="shared" si="68"/>
        <v>BAN1867(MBAN4/MBAN8)</v>
      </c>
      <c r="C66" s="57"/>
      <c r="D66" s="79"/>
      <c r="E66" s="57"/>
      <c r="F66" s="71">
        <f t="shared" si="69"/>
        <v>245</v>
      </c>
      <c r="G66" s="72">
        <f t="shared" si="70"/>
        <v>0</v>
      </c>
      <c r="H66" s="57">
        <f t="shared" si="57"/>
        <v>0</v>
      </c>
      <c r="I66" s="73">
        <f t="shared" si="58"/>
        <v>0</v>
      </c>
      <c r="J66" s="74">
        <v>22</v>
      </c>
      <c r="K66" s="57">
        <f t="shared" si="59"/>
        <v>0</v>
      </c>
      <c r="L66" s="75">
        <f t="shared" si="60"/>
        <v>0</v>
      </c>
      <c r="M66" s="76">
        <f t="shared" si="61"/>
        <v>0</v>
      </c>
      <c r="N66" s="76">
        <f t="shared" si="62"/>
        <v>0</v>
      </c>
      <c r="O66" s="77">
        <f t="shared" si="63"/>
        <v>0</v>
      </c>
      <c r="P66" s="77">
        <f t="shared" si="64"/>
        <v>0</v>
      </c>
      <c r="Q66" s="76">
        <f t="shared" si="65"/>
        <v>0</v>
      </c>
      <c r="R66" s="76">
        <f t="shared" si="66"/>
        <v>0</v>
      </c>
      <c r="S66" s="57">
        <f t="shared" si="67"/>
        <v>0</v>
      </c>
    </row>
    <row r="67" spans="1:19" x14ac:dyDescent="0.4">
      <c r="A67" s="57"/>
      <c r="B67" s="57" t="str">
        <f t="shared" si="68"/>
        <v>BAN1867(MBAN4/MBAN8)</v>
      </c>
      <c r="C67" s="57"/>
      <c r="D67" s="79"/>
      <c r="E67" s="57"/>
      <c r="F67" s="71">
        <f t="shared" si="69"/>
        <v>275</v>
      </c>
      <c r="G67" s="72">
        <f t="shared" si="70"/>
        <v>0</v>
      </c>
      <c r="H67" s="57">
        <f t="shared" si="57"/>
        <v>0</v>
      </c>
      <c r="I67" s="73">
        <f t="shared" si="58"/>
        <v>0</v>
      </c>
      <c r="J67" s="74">
        <v>22</v>
      </c>
      <c r="K67" s="57">
        <f t="shared" si="59"/>
        <v>0</v>
      </c>
      <c r="L67" s="75">
        <f t="shared" si="60"/>
        <v>0</v>
      </c>
      <c r="M67" s="76">
        <f t="shared" si="61"/>
        <v>0</v>
      </c>
      <c r="N67" s="76">
        <f t="shared" si="62"/>
        <v>0</v>
      </c>
      <c r="O67" s="77">
        <f t="shared" si="63"/>
        <v>0</v>
      </c>
      <c r="P67" s="77">
        <f t="shared" si="64"/>
        <v>0</v>
      </c>
      <c r="Q67" s="76">
        <f t="shared" si="65"/>
        <v>0</v>
      </c>
      <c r="R67" s="76">
        <f t="shared" si="66"/>
        <v>0</v>
      </c>
      <c r="S67" s="57">
        <f t="shared" si="67"/>
        <v>0</v>
      </c>
    </row>
    <row r="68" spans="1:19" x14ac:dyDescent="0.4">
      <c r="A68" s="57"/>
      <c r="B68" s="57" t="str">
        <f t="shared" si="68"/>
        <v>BAN1867(MBAN4/MBAN8)</v>
      </c>
      <c r="C68" s="57"/>
      <c r="D68" s="57"/>
      <c r="E68" s="57"/>
      <c r="F68" s="71">
        <f t="shared" si="69"/>
        <v>306</v>
      </c>
      <c r="G68" s="72">
        <f t="shared" si="70"/>
        <v>0</v>
      </c>
      <c r="H68" s="57">
        <f t="shared" si="57"/>
        <v>0</v>
      </c>
      <c r="I68" s="73">
        <f t="shared" si="58"/>
        <v>0</v>
      </c>
      <c r="J68" s="74">
        <v>22</v>
      </c>
      <c r="K68" s="57">
        <f t="shared" si="59"/>
        <v>0</v>
      </c>
      <c r="L68" s="75">
        <f t="shared" si="60"/>
        <v>0</v>
      </c>
      <c r="M68" s="76">
        <f t="shared" si="61"/>
        <v>0</v>
      </c>
      <c r="N68" s="76">
        <f t="shared" si="62"/>
        <v>0</v>
      </c>
      <c r="O68" s="77">
        <f t="shared" si="63"/>
        <v>0</v>
      </c>
      <c r="P68" s="77">
        <f t="shared" si="64"/>
        <v>0</v>
      </c>
      <c r="Q68" s="76">
        <f t="shared" si="65"/>
        <v>0</v>
      </c>
      <c r="R68" s="76">
        <f t="shared" si="66"/>
        <v>0</v>
      </c>
      <c r="S68" s="57">
        <f t="shared" si="67"/>
        <v>0</v>
      </c>
    </row>
    <row r="69" spans="1:19" x14ac:dyDescent="0.4">
      <c r="A69" s="57"/>
      <c r="B69" s="57" t="str">
        <f t="shared" si="68"/>
        <v>BAN1867(MBAN4/MBAN8)</v>
      </c>
      <c r="C69" s="57"/>
      <c r="D69" s="57"/>
      <c r="E69" s="57"/>
      <c r="F69" s="71">
        <f t="shared" si="69"/>
        <v>336</v>
      </c>
      <c r="G69" s="72">
        <f t="shared" si="70"/>
        <v>0</v>
      </c>
      <c r="H69" s="57">
        <f t="shared" si="57"/>
        <v>0</v>
      </c>
      <c r="I69" s="73">
        <f t="shared" si="58"/>
        <v>0</v>
      </c>
      <c r="J69" s="74">
        <v>22</v>
      </c>
      <c r="K69" s="57">
        <f t="shared" si="59"/>
        <v>0</v>
      </c>
      <c r="L69" s="75">
        <f t="shared" si="60"/>
        <v>0</v>
      </c>
      <c r="M69" s="76">
        <f t="shared" si="61"/>
        <v>0</v>
      </c>
      <c r="N69" s="76">
        <f t="shared" si="62"/>
        <v>0</v>
      </c>
      <c r="O69" s="77">
        <f t="shared" si="63"/>
        <v>0</v>
      </c>
      <c r="P69" s="77">
        <f t="shared" si="64"/>
        <v>0</v>
      </c>
      <c r="Q69" s="76">
        <f t="shared" si="65"/>
        <v>0</v>
      </c>
      <c r="R69" s="76">
        <f t="shared" si="66"/>
        <v>0</v>
      </c>
      <c r="S69" s="57">
        <f t="shared" si="67"/>
        <v>0</v>
      </c>
    </row>
    <row r="70" spans="1:19" x14ac:dyDescent="0.4">
      <c r="A70" s="57"/>
      <c r="B70" s="57" t="str">
        <f t="shared" si="68"/>
        <v>BAN1867(MBAN4/MBAN8)</v>
      </c>
      <c r="C70" s="57"/>
      <c r="D70" s="57"/>
      <c r="E70" s="57"/>
      <c r="F70" s="71">
        <f t="shared" si="69"/>
        <v>367</v>
      </c>
      <c r="G70" s="72">
        <f t="shared" si="70"/>
        <v>0</v>
      </c>
      <c r="H70" s="57">
        <f t="shared" si="57"/>
        <v>0</v>
      </c>
      <c r="I70" s="73">
        <f t="shared" si="58"/>
        <v>0</v>
      </c>
      <c r="J70" s="74">
        <v>22</v>
      </c>
      <c r="K70" s="57">
        <f t="shared" si="59"/>
        <v>0</v>
      </c>
      <c r="L70" s="75">
        <f t="shared" si="60"/>
        <v>0</v>
      </c>
      <c r="M70" s="76">
        <f t="shared" si="61"/>
        <v>0</v>
      </c>
      <c r="N70" s="76">
        <f t="shared" si="62"/>
        <v>0</v>
      </c>
      <c r="O70" s="77">
        <f t="shared" si="63"/>
        <v>0</v>
      </c>
      <c r="P70" s="77">
        <f t="shared" si="64"/>
        <v>0</v>
      </c>
      <c r="Q70" s="76">
        <f t="shared" si="65"/>
        <v>0</v>
      </c>
      <c r="R70" s="76">
        <f t="shared" si="66"/>
        <v>0</v>
      </c>
      <c r="S70" s="57">
        <f t="shared" si="67"/>
        <v>0</v>
      </c>
    </row>
    <row r="71" spans="1:19" x14ac:dyDescent="0.4">
      <c r="B71" s="57"/>
    </row>
    <row r="72" spans="1:19" ht="123" customHeight="1" x14ac:dyDescent="0.4">
      <c r="A72" s="69" t="s">
        <v>11</v>
      </c>
      <c r="B72" s="69" t="s">
        <v>11</v>
      </c>
      <c r="C72" s="69" t="s">
        <v>155</v>
      </c>
      <c r="D72" s="69" t="s">
        <v>158</v>
      </c>
      <c r="E72" s="69" t="s">
        <v>185</v>
      </c>
      <c r="F72" s="69" t="s">
        <v>186</v>
      </c>
      <c r="G72" s="70" t="s">
        <v>156</v>
      </c>
      <c r="H72" s="69" t="s">
        <v>187</v>
      </c>
      <c r="I72" s="69" t="s">
        <v>188</v>
      </c>
      <c r="J72" s="69" t="s">
        <v>158</v>
      </c>
      <c r="K72" s="69" t="s">
        <v>159</v>
      </c>
      <c r="L72" s="69" t="s">
        <v>160</v>
      </c>
      <c r="M72" s="69" t="s">
        <v>161</v>
      </c>
      <c r="N72" s="69" t="s">
        <v>162</v>
      </c>
      <c r="O72" s="69" t="s">
        <v>163</v>
      </c>
      <c r="P72" s="69" t="s">
        <v>164</v>
      </c>
      <c r="Q72" s="69" t="s">
        <v>165</v>
      </c>
      <c r="R72" s="69" t="s">
        <v>166</v>
      </c>
      <c r="S72" s="69" t="s">
        <v>189</v>
      </c>
    </row>
    <row r="73" spans="1:19" x14ac:dyDescent="0.4">
      <c r="A73" s="57">
        <f>+A59+1</f>
        <v>6</v>
      </c>
      <c r="B73" s="57" t="str">
        <f>INDEX('sale resgister'!B:B,A73+1,1)</f>
        <v>BAN1868(MBAN6/MBAN7/MBAN12)</v>
      </c>
      <c r="C73" s="71">
        <f>+VLOOKUP(B73,'sale resgister'!B:J,9,0)</f>
        <v>45922</v>
      </c>
      <c r="D73" s="79" t="str">
        <f>+VLOOKUP(B73,'sale resgister'!B:J,2,0)</f>
        <v>Batch 1</v>
      </c>
      <c r="E73" s="96">
        <f>IF(C73=0,0,VLOOKUP(B73,'sale resgister'!B:J,4,0))</f>
        <v>26.34</v>
      </c>
      <c r="F73" s="71">
        <f>DATE(YEAR(C73),MONTH(C73)+1,1)</f>
        <v>45931</v>
      </c>
      <c r="G73" s="72">
        <f>E73</f>
        <v>26.34</v>
      </c>
      <c r="H73" s="57">
        <f t="shared" ref="H73:H84" si="71">ROUND(+G73*$H$1,3)</f>
        <v>1.8440000000000001</v>
      </c>
      <c r="I73" s="73">
        <f t="shared" ref="I73:I84" si="72">IFERROR(+VLOOKUP(F73,$W$3:$X$15,2,0),0)</f>
        <v>12115</v>
      </c>
      <c r="J73" s="74">
        <v>22</v>
      </c>
      <c r="K73" s="57">
        <f t="shared" ref="K73:K84" si="73">ROUND(+H73*97%,3)</f>
        <v>1.7889999999999999</v>
      </c>
      <c r="L73" s="75">
        <f t="shared" ref="L73:L84" si="74">(K73-H73*92%)*I73</f>
        <v>1120.8797999999965</v>
      </c>
      <c r="M73" s="76">
        <f t="shared" ref="M73:M84" si="75">ROUND(I73*92%*H73,2)</f>
        <v>20552.86</v>
      </c>
      <c r="N73" s="76">
        <f t="shared" ref="N73:N84" si="76">ROUND(+M73*0.11,2)</f>
        <v>2260.81</v>
      </c>
      <c r="O73" s="77">
        <f t="shared" ref="O73:O84" si="77">+N73-L73</f>
        <v>1139.9302000000034</v>
      </c>
      <c r="P73" s="77">
        <f t="shared" ref="P73:P84" si="78">ROUND(+O73*15%,2)</f>
        <v>170.99</v>
      </c>
      <c r="Q73" s="76">
        <f t="shared" ref="Q73:Q84" si="79">ROUND(+(O73-P73)*60%,2)</f>
        <v>581.36</v>
      </c>
      <c r="R73" s="76">
        <f t="shared" ref="R73:R84" si="80">ROUND(+(O73-P73)*40%,2)</f>
        <v>387.58</v>
      </c>
      <c r="S73" s="57">
        <f t="shared" ref="S73:S84" si="81">IFERROR(ROUND(+Q73/(I73/92%),3),0)</f>
        <v>4.3999999999999997E-2</v>
      </c>
    </row>
    <row r="74" spans="1:19" x14ac:dyDescent="0.4">
      <c r="A74" s="57"/>
      <c r="B74" s="57" t="str">
        <f t="shared" ref="B74:B84" si="82">+B73</f>
        <v>BAN1868(MBAN6/MBAN7/MBAN12)</v>
      </c>
      <c r="C74" s="57"/>
      <c r="D74" s="57"/>
      <c r="E74" s="57"/>
      <c r="F74" s="71">
        <f t="shared" ref="F74:F84" si="83">IF(+DATE(YEAR(F73),MONTH(F73)+1,1)&gt;$G$1+1,0,+DATE(YEAR(F73),MONTH(F73)+1,1))</f>
        <v>45962</v>
      </c>
      <c r="G74" s="72">
        <f t="shared" ref="G74:G84" si="84">ROUND(IF(F74=0,0,(G73+S73)),3)</f>
        <v>26.384</v>
      </c>
      <c r="H74" s="57">
        <f t="shared" si="71"/>
        <v>1.847</v>
      </c>
      <c r="I74" s="73">
        <f t="shared" si="72"/>
        <v>12490</v>
      </c>
      <c r="J74" s="74">
        <v>22</v>
      </c>
      <c r="K74" s="57">
        <f t="shared" si="73"/>
        <v>1.792</v>
      </c>
      <c r="L74" s="75">
        <f t="shared" si="74"/>
        <v>1158.5723999999993</v>
      </c>
      <c r="M74" s="76">
        <f t="shared" si="75"/>
        <v>21223.51</v>
      </c>
      <c r="N74" s="76">
        <f t="shared" si="76"/>
        <v>2334.59</v>
      </c>
      <c r="O74" s="77">
        <f t="shared" si="77"/>
        <v>1176.0176000000008</v>
      </c>
      <c r="P74" s="77">
        <f t="shared" si="78"/>
        <v>176.4</v>
      </c>
      <c r="Q74" s="76">
        <f t="shared" si="79"/>
        <v>599.77</v>
      </c>
      <c r="R74" s="76">
        <f t="shared" si="80"/>
        <v>399.85</v>
      </c>
      <c r="S74" s="57">
        <f t="shared" si="81"/>
        <v>4.3999999999999997E-2</v>
      </c>
    </row>
    <row r="75" spans="1:19" x14ac:dyDescent="0.4">
      <c r="A75" s="57"/>
      <c r="B75" s="57" t="str">
        <f t="shared" si="82"/>
        <v>BAN1868(MBAN6/MBAN7/MBAN12)</v>
      </c>
      <c r="C75" s="57"/>
      <c r="D75" s="57"/>
      <c r="E75" s="71"/>
      <c r="F75" s="71">
        <f t="shared" si="83"/>
        <v>45992</v>
      </c>
      <c r="G75" s="72">
        <f t="shared" si="84"/>
        <v>26.428000000000001</v>
      </c>
      <c r="H75" s="57">
        <f t="shared" si="71"/>
        <v>1.85</v>
      </c>
      <c r="I75" s="73">
        <f t="shared" si="72"/>
        <v>13220</v>
      </c>
      <c r="J75" s="74">
        <v>22</v>
      </c>
      <c r="K75" s="57">
        <f t="shared" si="73"/>
        <v>1.7949999999999999</v>
      </c>
      <c r="L75" s="75">
        <f t="shared" si="74"/>
        <v>1229.4599999999966</v>
      </c>
      <c r="M75" s="76">
        <f t="shared" si="75"/>
        <v>22500.44</v>
      </c>
      <c r="N75" s="76">
        <f t="shared" si="76"/>
        <v>2475.0500000000002</v>
      </c>
      <c r="O75" s="77">
        <f t="shared" si="77"/>
        <v>1245.5900000000036</v>
      </c>
      <c r="P75" s="77">
        <f t="shared" si="78"/>
        <v>186.84</v>
      </c>
      <c r="Q75" s="76">
        <f t="shared" si="79"/>
        <v>635.25</v>
      </c>
      <c r="R75" s="76">
        <f t="shared" si="80"/>
        <v>423.5</v>
      </c>
      <c r="S75" s="57">
        <f t="shared" si="81"/>
        <v>4.3999999999999997E-2</v>
      </c>
    </row>
    <row r="76" spans="1:19" x14ac:dyDescent="0.4">
      <c r="A76" s="57"/>
      <c r="B76" s="57" t="str">
        <f t="shared" si="82"/>
        <v>BAN1868(MBAN6/MBAN7/MBAN12)</v>
      </c>
      <c r="C76" s="57"/>
      <c r="D76" s="57"/>
      <c r="E76" s="57"/>
      <c r="F76" s="71">
        <f t="shared" si="83"/>
        <v>46023</v>
      </c>
      <c r="G76" s="72">
        <f t="shared" si="84"/>
        <v>26.472000000000001</v>
      </c>
      <c r="H76" s="57">
        <f t="shared" si="71"/>
        <v>1.853</v>
      </c>
      <c r="I76" s="73">
        <f t="shared" si="72"/>
        <v>13790</v>
      </c>
      <c r="J76" s="74">
        <v>22</v>
      </c>
      <c r="K76" s="57">
        <f t="shared" si="73"/>
        <v>1.7969999999999999</v>
      </c>
      <c r="L76" s="75">
        <f t="shared" si="74"/>
        <v>1271.9895999999983</v>
      </c>
      <c r="M76" s="76">
        <f t="shared" si="75"/>
        <v>23508.639999999999</v>
      </c>
      <c r="N76" s="76">
        <f t="shared" si="76"/>
        <v>2585.9499999999998</v>
      </c>
      <c r="O76" s="77">
        <f t="shared" si="77"/>
        <v>1313.9604000000015</v>
      </c>
      <c r="P76" s="77">
        <f t="shared" si="78"/>
        <v>197.09</v>
      </c>
      <c r="Q76" s="76">
        <f t="shared" si="79"/>
        <v>670.12</v>
      </c>
      <c r="R76" s="76">
        <f t="shared" si="80"/>
        <v>446.75</v>
      </c>
      <c r="S76" s="57">
        <f t="shared" si="81"/>
        <v>4.4999999999999998E-2</v>
      </c>
    </row>
    <row r="77" spans="1:19" x14ac:dyDescent="0.4">
      <c r="A77" s="57"/>
      <c r="B77" s="57" t="str">
        <f t="shared" si="82"/>
        <v>BAN1868(MBAN6/MBAN7/MBAN12)</v>
      </c>
      <c r="C77" s="71"/>
      <c r="D77" s="57"/>
      <c r="E77" s="57"/>
      <c r="F77" s="71">
        <f t="shared" si="83"/>
        <v>46054</v>
      </c>
      <c r="G77" s="72">
        <f t="shared" si="84"/>
        <v>26.516999999999999</v>
      </c>
      <c r="H77" s="57">
        <f t="shared" si="71"/>
        <v>1.8560000000000001</v>
      </c>
      <c r="I77" s="73">
        <f t="shared" si="72"/>
        <v>15760</v>
      </c>
      <c r="J77" s="74">
        <v>22</v>
      </c>
      <c r="K77" s="57">
        <f t="shared" si="73"/>
        <v>1.8</v>
      </c>
      <c r="L77" s="75">
        <f t="shared" si="74"/>
        <v>1457.4847999999984</v>
      </c>
      <c r="M77" s="76">
        <f t="shared" si="75"/>
        <v>26910.52</v>
      </c>
      <c r="N77" s="76">
        <f t="shared" si="76"/>
        <v>2960.16</v>
      </c>
      <c r="O77" s="77">
        <f t="shared" si="77"/>
        <v>1502.6752000000015</v>
      </c>
      <c r="P77" s="77">
        <f t="shared" si="78"/>
        <v>225.4</v>
      </c>
      <c r="Q77" s="76">
        <f t="shared" si="79"/>
        <v>766.37</v>
      </c>
      <c r="R77" s="76">
        <f t="shared" si="80"/>
        <v>510.91</v>
      </c>
      <c r="S77" s="57">
        <f t="shared" si="81"/>
        <v>4.4999999999999998E-2</v>
      </c>
    </row>
    <row r="78" spans="1:19" x14ac:dyDescent="0.4">
      <c r="A78" s="57"/>
      <c r="B78" s="57" t="str">
        <f t="shared" si="82"/>
        <v>BAN1868(MBAN6/MBAN7/MBAN12)</v>
      </c>
      <c r="C78" s="57"/>
      <c r="D78" s="57"/>
      <c r="E78" s="57"/>
      <c r="F78" s="71">
        <f t="shared" si="83"/>
        <v>46082</v>
      </c>
      <c r="G78" s="72">
        <f t="shared" si="84"/>
        <v>26.562000000000001</v>
      </c>
      <c r="H78" s="57">
        <f t="shared" si="71"/>
        <v>1.859</v>
      </c>
      <c r="I78" s="73">
        <f t="shared" si="72"/>
        <v>17200</v>
      </c>
      <c r="J78" s="74">
        <v>22</v>
      </c>
      <c r="K78" s="57">
        <f t="shared" si="73"/>
        <v>1.8029999999999999</v>
      </c>
      <c r="L78" s="75">
        <f t="shared" si="74"/>
        <v>1594.7839999999985</v>
      </c>
      <c r="M78" s="76">
        <f t="shared" si="75"/>
        <v>29416.82</v>
      </c>
      <c r="N78" s="76">
        <f t="shared" si="76"/>
        <v>3235.85</v>
      </c>
      <c r="O78" s="77">
        <f t="shared" si="77"/>
        <v>1641.0660000000014</v>
      </c>
      <c r="P78" s="77">
        <f t="shared" si="78"/>
        <v>246.16</v>
      </c>
      <c r="Q78" s="76">
        <f t="shared" si="79"/>
        <v>836.94</v>
      </c>
      <c r="R78" s="76">
        <f t="shared" si="80"/>
        <v>557.96</v>
      </c>
      <c r="S78" s="57">
        <f t="shared" si="81"/>
        <v>4.4999999999999998E-2</v>
      </c>
    </row>
    <row r="79" spans="1:19" x14ac:dyDescent="0.4">
      <c r="A79" s="57"/>
      <c r="B79" s="57" t="str">
        <f t="shared" si="82"/>
        <v>BAN1868(MBAN6/MBAN7/MBAN12)</v>
      </c>
      <c r="C79" s="57"/>
      <c r="D79" s="57"/>
      <c r="E79" s="57"/>
      <c r="F79" s="71">
        <f t="shared" si="83"/>
        <v>46113</v>
      </c>
      <c r="G79" s="72">
        <f t="shared" si="84"/>
        <v>26.606999999999999</v>
      </c>
      <c r="H79" s="57">
        <f t="shared" si="71"/>
        <v>1.8620000000000001</v>
      </c>
      <c r="I79" s="73">
        <f t="shared" si="72"/>
        <v>15450</v>
      </c>
      <c r="J79" s="74">
        <v>22</v>
      </c>
      <c r="K79" s="57">
        <f t="shared" si="73"/>
        <v>1.806</v>
      </c>
      <c r="L79" s="75">
        <f t="shared" si="74"/>
        <v>1436.2319999999988</v>
      </c>
      <c r="M79" s="76">
        <f t="shared" si="75"/>
        <v>26466.47</v>
      </c>
      <c r="N79" s="76">
        <f t="shared" si="76"/>
        <v>2911.31</v>
      </c>
      <c r="O79" s="77">
        <f t="shared" si="77"/>
        <v>1475.0780000000011</v>
      </c>
      <c r="P79" s="77">
        <f t="shared" si="78"/>
        <v>221.26</v>
      </c>
      <c r="Q79" s="76">
        <f t="shared" si="79"/>
        <v>752.29</v>
      </c>
      <c r="R79" s="76">
        <f t="shared" si="80"/>
        <v>501.53</v>
      </c>
      <c r="S79" s="57">
        <f t="shared" si="81"/>
        <v>4.4999999999999998E-2</v>
      </c>
    </row>
    <row r="80" spans="1:19" x14ac:dyDescent="0.4">
      <c r="A80" s="57"/>
      <c r="B80" s="57" t="str">
        <f t="shared" si="82"/>
        <v>BAN1868(MBAN6/MBAN7/MBAN12)</v>
      </c>
      <c r="C80" s="57"/>
      <c r="D80" s="79"/>
      <c r="E80" s="57"/>
      <c r="F80" s="71">
        <f t="shared" si="83"/>
        <v>0</v>
      </c>
      <c r="G80" s="72">
        <f t="shared" si="84"/>
        <v>0</v>
      </c>
      <c r="H80" s="57">
        <f t="shared" si="71"/>
        <v>0</v>
      </c>
      <c r="I80" s="73">
        <f t="shared" si="72"/>
        <v>0</v>
      </c>
      <c r="J80" s="74">
        <v>22</v>
      </c>
      <c r="K80" s="57">
        <f t="shared" si="73"/>
        <v>0</v>
      </c>
      <c r="L80" s="75">
        <f t="shared" si="74"/>
        <v>0</v>
      </c>
      <c r="M80" s="76">
        <f t="shared" si="75"/>
        <v>0</v>
      </c>
      <c r="N80" s="76">
        <f t="shared" si="76"/>
        <v>0</v>
      </c>
      <c r="O80" s="77">
        <f t="shared" si="77"/>
        <v>0</v>
      </c>
      <c r="P80" s="77">
        <f t="shared" si="78"/>
        <v>0</v>
      </c>
      <c r="Q80" s="76">
        <f t="shared" si="79"/>
        <v>0</v>
      </c>
      <c r="R80" s="76">
        <f t="shared" si="80"/>
        <v>0</v>
      </c>
      <c r="S80" s="57">
        <f t="shared" si="81"/>
        <v>0</v>
      </c>
    </row>
    <row r="81" spans="1:19" x14ac:dyDescent="0.4">
      <c r="A81" s="57"/>
      <c r="B81" s="57" t="str">
        <f t="shared" si="82"/>
        <v>BAN1868(MBAN6/MBAN7/MBAN12)</v>
      </c>
      <c r="C81" s="57"/>
      <c r="D81" s="79"/>
      <c r="E81" s="57"/>
      <c r="F81" s="71">
        <f t="shared" si="83"/>
        <v>32</v>
      </c>
      <c r="G81" s="72">
        <f t="shared" si="84"/>
        <v>0</v>
      </c>
      <c r="H81" s="57">
        <f t="shared" si="71"/>
        <v>0</v>
      </c>
      <c r="I81" s="73">
        <f t="shared" si="72"/>
        <v>0</v>
      </c>
      <c r="J81" s="74">
        <v>22</v>
      </c>
      <c r="K81" s="57">
        <f t="shared" si="73"/>
        <v>0</v>
      </c>
      <c r="L81" s="75">
        <f t="shared" si="74"/>
        <v>0</v>
      </c>
      <c r="M81" s="76">
        <f t="shared" si="75"/>
        <v>0</v>
      </c>
      <c r="N81" s="76">
        <f t="shared" si="76"/>
        <v>0</v>
      </c>
      <c r="O81" s="77">
        <f t="shared" si="77"/>
        <v>0</v>
      </c>
      <c r="P81" s="77">
        <f t="shared" si="78"/>
        <v>0</v>
      </c>
      <c r="Q81" s="76">
        <f t="shared" si="79"/>
        <v>0</v>
      </c>
      <c r="R81" s="76">
        <f t="shared" si="80"/>
        <v>0</v>
      </c>
      <c r="S81" s="57">
        <f t="shared" si="81"/>
        <v>0</v>
      </c>
    </row>
    <row r="82" spans="1:19" x14ac:dyDescent="0.4">
      <c r="A82" s="57"/>
      <c r="B82" s="57" t="str">
        <f t="shared" si="82"/>
        <v>BAN1868(MBAN6/MBAN7/MBAN12)</v>
      </c>
      <c r="C82" s="57"/>
      <c r="D82" s="57"/>
      <c r="E82" s="57"/>
      <c r="F82" s="71">
        <f t="shared" si="83"/>
        <v>61</v>
      </c>
      <c r="G82" s="72">
        <f t="shared" si="84"/>
        <v>0</v>
      </c>
      <c r="H82" s="57">
        <f t="shared" si="71"/>
        <v>0</v>
      </c>
      <c r="I82" s="73">
        <f t="shared" si="72"/>
        <v>0</v>
      </c>
      <c r="J82" s="74">
        <v>22</v>
      </c>
      <c r="K82" s="57">
        <f t="shared" si="73"/>
        <v>0</v>
      </c>
      <c r="L82" s="75">
        <f t="shared" si="74"/>
        <v>0</v>
      </c>
      <c r="M82" s="76">
        <f t="shared" si="75"/>
        <v>0</v>
      </c>
      <c r="N82" s="76">
        <f t="shared" si="76"/>
        <v>0</v>
      </c>
      <c r="O82" s="77">
        <f t="shared" si="77"/>
        <v>0</v>
      </c>
      <c r="P82" s="77">
        <f t="shared" si="78"/>
        <v>0</v>
      </c>
      <c r="Q82" s="76">
        <f t="shared" si="79"/>
        <v>0</v>
      </c>
      <c r="R82" s="76">
        <f t="shared" si="80"/>
        <v>0</v>
      </c>
      <c r="S82" s="57">
        <f t="shared" si="81"/>
        <v>0</v>
      </c>
    </row>
    <row r="83" spans="1:19" x14ac:dyDescent="0.4">
      <c r="A83" s="57"/>
      <c r="B83" s="57" t="str">
        <f t="shared" si="82"/>
        <v>BAN1868(MBAN6/MBAN7/MBAN12)</v>
      </c>
      <c r="C83" s="57"/>
      <c r="D83" s="57"/>
      <c r="E83" s="57"/>
      <c r="F83" s="71">
        <f t="shared" si="83"/>
        <v>92</v>
      </c>
      <c r="G83" s="72">
        <f t="shared" si="84"/>
        <v>0</v>
      </c>
      <c r="H83" s="57">
        <f t="shared" si="71"/>
        <v>0</v>
      </c>
      <c r="I83" s="73">
        <f t="shared" si="72"/>
        <v>0</v>
      </c>
      <c r="J83" s="74">
        <v>22</v>
      </c>
      <c r="K83" s="57">
        <f t="shared" si="73"/>
        <v>0</v>
      </c>
      <c r="L83" s="75">
        <f t="shared" si="74"/>
        <v>0</v>
      </c>
      <c r="M83" s="76">
        <f t="shared" si="75"/>
        <v>0</v>
      </c>
      <c r="N83" s="76">
        <f t="shared" si="76"/>
        <v>0</v>
      </c>
      <c r="O83" s="77">
        <f t="shared" si="77"/>
        <v>0</v>
      </c>
      <c r="P83" s="77">
        <f t="shared" si="78"/>
        <v>0</v>
      </c>
      <c r="Q83" s="76">
        <f t="shared" si="79"/>
        <v>0</v>
      </c>
      <c r="R83" s="76">
        <f t="shared" si="80"/>
        <v>0</v>
      </c>
      <c r="S83" s="57">
        <f t="shared" si="81"/>
        <v>0</v>
      </c>
    </row>
    <row r="84" spans="1:19" x14ac:dyDescent="0.4">
      <c r="A84" s="57"/>
      <c r="B84" s="57" t="str">
        <f t="shared" si="82"/>
        <v>BAN1868(MBAN6/MBAN7/MBAN12)</v>
      </c>
      <c r="C84" s="57"/>
      <c r="D84" s="57"/>
      <c r="E84" s="57"/>
      <c r="F84" s="71">
        <f t="shared" si="83"/>
        <v>122</v>
      </c>
      <c r="G84" s="72">
        <f t="shared" si="84"/>
        <v>0</v>
      </c>
      <c r="H84" s="57">
        <f t="shared" si="71"/>
        <v>0</v>
      </c>
      <c r="I84" s="73">
        <f t="shared" si="72"/>
        <v>0</v>
      </c>
      <c r="J84" s="74">
        <v>22</v>
      </c>
      <c r="K84" s="57">
        <f t="shared" si="73"/>
        <v>0</v>
      </c>
      <c r="L84" s="75">
        <f t="shared" si="74"/>
        <v>0</v>
      </c>
      <c r="M84" s="76">
        <f t="shared" si="75"/>
        <v>0</v>
      </c>
      <c r="N84" s="76">
        <f t="shared" si="76"/>
        <v>0</v>
      </c>
      <c r="O84" s="77">
        <f t="shared" si="77"/>
        <v>0</v>
      </c>
      <c r="P84" s="77">
        <f t="shared" si="78"/>
        <v>0</v>
      </c>
      <c r="Q84" s="76">
        <f t="shared" si="79"/>
        <v>0</v>
      </c>
      <c r="R84" s="76">
        <f t="shared" si="80"/>
        <v>0</v>
      </c>
      <c r="S84" s="57">
        <f t="shared" si="81"/>
        <v>0</v>
      </c>
    </row>
    <row r="85" spans="1:19" x14ac:dyDescent="0.4">
      <c r="B85" s="57"/>
    </row>
    <row r="86" spans="1:19" ht="123" customHeight="1" x14ac:dyDescent="0.4">
      <c r="A86" s="69" t="s">
        <v>11</v>
      </c>
      <c r="B86" s="69" t="s">
        <v>11</v>
      </c>
      <c r="C86" s="69" t="s">
        <v>155</v>
      </c>
      <c r="D86" s="69" t="s">
        <v>158</v>
      </c>
      <c r="E86" s="69" t="s">
        <v>185</v>
      </c>
      <c r="F86" s="69" t="s">
        <v>186</v>
      </c>
      <c r="G86" s="70" t="s">
        <v>156</v>
      </c>
      <c r="H86" s="69" t="s">
        <v>187</v>
      </c>
      <c r="I86" s="69" t="s">
        <v>188</v>
      </c>
      <c r="J86" s="69" t="s">
        <v>158</v>
      </c>
      <c r="K86" s="69" t="s">
        <v>159</v>
      </c>
      <c r="L86" s="69" t="s">
        <v>160</v>
      </c>
      <c r="M86" s="69" t="s">
        <v>161</v>
      </c>
      <c r="N86" s="69" t="s">
        <v>162</v>
      </c>
      <c r="O86" s="69" t="s">
        <v>163</v>
      </c>
      <c r="P86" s="69" t="s">
        <v>164</v>
      </c>
      <c r="Q86" s="69" t="s">
        <v>165</v>
      </c>
      <c r="R86" s="69" t="s">
        <v>166</v>
      </c>
      <c r="S86" s="69" t="s">
        <v>189</v>
      </c>
    </row>
    <row r="87" spans="1:19" x14ac:dyDescent="0.4">
      <c r="A87" s="57">
        <f>+A73+1</f>
        <v>7</v>
      </c>
      <c r="B87" s="57" t="str">
        <f>INDEX('sale resgister'!B:B,A87+1,1)</f>
        <v>BAN1843</v>
      </c>
      <c r="C87" s="71">
        <f>+VLOOKUP(B87,'sale resgister'!B:J,9,0)</f>
        <v>0</v>
      </c>
      <c r="D87" s="79" t="str">
        <f>+VLOOKUP(B87,'sale resgister'!B:J,2,0)</f>
        <v>Batch 1</v>
      </c>
      <c r="E87" s="96">
        <f>IF(C87=0,0,VLOOKUP(B87,'sale resgister'!B:J,4,0))</f>
        <v>0</v>
      </c>
      <c r="F87" s="71">
        <f>DATE(YEAR(C87),MONTH(C87)+1,1)</f>
        <v>32</v>
      </c>
      <c r="G87" s="72">
        <f>E87</f>
        <v>0</v>
      </c>
      <c r="H87" s="57">
        <f t="shared" ref="H87:H98" si="85">ROUND(+G87*$H$1,3)</f>
        <v>0</v>
      </c>
      <c r="I87" s="73">
        <f t="shared" ref="I87:I98" si="86">IFERROR(+VLOOKUP(F87,$W$3:$X$15,2,0),0)</f>
        <v>0</v>
      </c>
      <c r="J87" s="74">
        <v>22</v>
      </c>
      <c r="K87" s="57">
        <f t="shared" ref="K87:K98" si="87">ROUND(+H87*97%,3)</f>
        <v>0</v>
      </c>
      <c r="L87" s="75">
        <f t="shared" ref="L87:L98" si="88">(K87-H87*92%)*I87</f>
        <v>0</v>
      </c>
      <c r="M87" s="76">
        <f t="shared" ref="M87:M98" si="89">ROUND(I87*92%*H87,2)</f>
        <v>0</v>
      </c>
      <c r="N87" s="76">
        <f t="shared" ref="N87:N98" si="90">ROUND(+M87*0.11,2)</f>
        <v>0</v>
      </c>
      <c r="O87" s="77">
        <f t="shared" ref="O87:O98" si="91">+N87-L87</f>
        <v>0</v>
      </c>
      <c r="P87" s="77">
        <f t="shared" ref="P87:P98" si="92">ROUND(+O87*15%,2)</f>
        <v>0</v>
      </c>
      <c r="Q87" s="76">
        <f t="shared" ref="Q87:Q98" si="93">ROUND(+(O87-P87)*60%,2)</f>
        <v>0</v>
      </c>
      <c r="R87" s="76">
        <f t="shared" ref="R87:R98" si="94">ROUND(+(O87-P87)*40%,2)</f>
        <v>0</v>
      </c>
      <c r="S87" s="57">
        <f t="shared" ref="S87:S98" si="95">IFERROR(ROUND(+Q87/(I87/92%),3),0)</f>
        <v>0</v>
      </c>
    </row>
    <row r="88" spans="1:19" x14ac:dyDescent="0.4">
      <c r="A88" s="57"/>
      <c r="B88" s="57" t="str">
        <f t="shared" ref="B88:B98" si="96">+B87</f>
        <v>BAN1843</v>
      </c>
      <c r="C88" s="57"/>
      <c r="D88" s="57"/>
      <c r="E88" s="57"/>
      <c r="F88" s="71">
        <f t="shared" ref="F88:F98" si="97">IF(+DATE(YEAR(F87),MONTH(F87)+1,1)&gt;$G$1+1,0,+DATE(YEAR(F87),MONTH(F87)+1,1))</f>
        <v>61</v>
      </c>
      <c r="G88" s="72">
        <f t="shared" ref="G88:G98" si="98">ROUND(IF(F88=0,0,(G87+S87)),3)</f>
        <v>0</v>
      </c>
      <c r="H88" s="57">
        <f t="shared" si="85"/>
        <v>0</v>
      </c>
      <c r="I88" s="73">
        <f t="shared" si="86"/>
        <v>0</v>
      </c>
      <c r="J88" s="74">
        <v>22</v>
      </c>
      <c r="K88" s="57">
        <f t="shared" si="87"/>
        <v>0</v>
      </c>
      <c r="L88" s="75">
        <f t="shared" si="88"/>
        <v>0</v>
      </c>
      <c r="M88" s="76">
        <f t="shared" si="89"/>
        <v>0</v>
      </c>
      <c r="N88" s="76">
        <f t="shared" si="90"/>
        <v>0</v>
      </c>
      <c r="O88" s="77">
        <f t="shared" si="91"/>
        <v>0</v>
      </c>
      <c r="P88" s="77">
        <f t="shared" si="92"/>
        <v>0</v>
      </c>
      <c r="Q88" s="76">
        <f t="shared" si="93"/>
        <v>0</v>
      </c>
      <c r="R88" s="76">
        <f t="shared" si="94"/>
        <v>0</v>
      </c>
      <c r="S88" s="57">
        <f t="shared" si="95"/>
        <v>0</v>
      </c>
    </row>
    <row r="89" spans="1:19" x14ac:dyDescent="0.4">
      <c r="A89" s="57"/>
      <c r="B89" s="57" t="str">
        <f t="shared" si="96"/>
        <v>BAN1843</v>
      </c>
      <c r="C89" s="57"/>
      <c r="D89" s="57"/>
      <c r="E89" s="71"/>
      <c r="F89" s="71">
        <f t="shared" si="97"/>
        <v>92</v>
      </c>
      <c r="G89" s="72">
        <f t="shared" si="98"/>
        <v>0</v>
      </c>
      <c r="H89" s="57">
        <f t="shared" si="85"/>
        <v>0</v>
      </c>
      <c r="I89" s="73">
        <f t="shared" si="86"/>
        <v>0</v>
      </c>
      <c r="J89" s="74">
        <v>22</v>
      </c>
      <c r="K89" s="57">
        <f t="shared" si="87"/>
        <v>0</v>
      </c>
      <c r="L89" s="75">
        <f t="shared" si="88"/>
        <v>0</v>
      </c>
      <c r="M89" s="76">
        <f t="shared" si="89"/>
        <v>0</v>
      </c>
      <c r="N89" s="76">
        <f t="shared" si="90"/>
        <v>0</v>
      </c>
      <c r="O89" s="77">
        <f t="shared" si="91"/>
        <v>0</v>
      </c>
      <c r="P89" s="77">
        <f t="shared" si="92"/>
        <v>0</v>
      </c>
      <c r="Q89" s="76">
        <f t="shared" si="93"/>
        <v>0</v>
      </c>
      <c r="R89" s="76">
        <f t="shared" si="94"/>
        <v>0</v>
      </c>
      <c r="S89" s="57">
        <f t="shared" si="95"/>
        <v>0</v>
      </c>
    </row>
    <row r="90" spans="1:19" x14ac:dyDescent="0.4">
      <c r="A90" s="57"/>
      <c r="B90" s="57" t="str">
        <f t="shared" si="96"/>
        <v>BAN1843</v>
      </c>
      <c r="C90" s="57"/>
      <c r="D90" s="57"/>
      <c r="E90" s="57"/>
      <c r="F90" s="71">
        <f t="shared" si="97"/>
        <v>122</v>
      </c>
      <c r="G90" s="72">
        <f t="shared" si="98"/>
        <v>0</v>
      </c>
      <c r="H90" s="57">
        <f t="shared" si="85"/>
        <v>0</v>
      </c>
      <c r="I90" s="73">
        <f t="shared" si="86"/>
        <v>0</v>
      </c>
      <c r="J90" s="74">
        <v>22</v>
      </c>
      <c r="K90" s="57">
        <f t="shared" si="87"/>
        <v>0</v>
      </c>
      <c r="L90" s="75">
        <f t="shared" si="88"/>
        <v>0</v>
      </c>
      <c r="M90" s="76">
        <f t="shared" si="89"/>
        <v>0</v>
      </c>
      <c r="N90" s="76">
        <f t="shared" si="90"/>
        <v>0</v>
      </c>
      <c r="O90" s="77">
        <f t="shared" si="91"/>
        <v>0</v>
      </c>
      <c r="P90" s="77">
        <f t="shared" si="92"/>
        <v>0</v>
      </c>
      <c r="Q90" s="76">
        <f t="shared" si="93"/>
        <v>0</v>
      </c>
      <c r="R90" s="76">
        <f t="shared" si="94"/>
        <v>0</v>
      </c>
      <c r="S90" s="57">
        <f t="shared" si="95"/>
        <v>0</v>
      </c>
    </row>
    <row r="91" spans="1:19" x14ac:dyDescent="0.4">
      <c r="A91" s="57"/>
      <c r="B91" s="57" t="str">
        <f t="shared" si="96"/>
        <v>BAN1843</v>
      </c>
      <c r="C91" s="71"/>
      <c r="D91" s="57"/>
      <c r="E91" s="57"/>
      <c r="F91" s="71">
        <f t="shared" si="97"/>
        <v>153</v>
      </c>
      <c r="G91" s="72">
        <f t="shared" si="98"/>
        <v>0</v>
      </c>
      <c r="H91" s="57">
        <f t="shared" si="85"/>
        <v>0</v>
      </c>
      <c r="I91" s="73">
        <f t="shared" si="86"/>
        <v>0</v>
      </c>
      <c r="J91" s="74">
        <v>22</v>
      </c>
      <c r="K91" s="57">
        <f t="shared" si="87"/>
        <v>0</v>
      </c>
      <c r="L91" s="75">
        <f t="shared" si="88"/>
        <v>0</v>
      </c>
      <c r="M91" s="76">
        <f t="shared" si="89"/>
        <v>0</v>
      </c>
      <c r="N91" s="76">
        <f t="shared" si="90"/>
        <v>0</v>
      </c>
      <c r="O91" s="77">
        <f t="shared" si="91"/>
        <v>0</v>
      </c>
      <c r="P91" s="77">
        <f t="shared" si="92"/>
        <v>0</v>
      </c>
      <c r="Q91" s="76">
        <f t="shared" si="93"/>
        <v>0</v>
      </c>
      <c r="R91" s="76">
        <f t="shared" si="94"/>
        <v>0</v>
      </c>
      <c r="S91" s="57">
        <f t="shared" si="95"/>
        <v>0</v>
      </c>
    </row>
    <row r="92" spans="1:19" x14ac:dyDescent="0.4">
      <c r="A92" s="57"/>
      <c r="B92" s="57" t="str">
        <f t="shared" si="96"/>
        <v>BAN1843</v>
      </c>
      <c r="C92" s="57"/>
      <c r="D92" s="57"/>
      <c r="E92" s="57"/>
      <c r="F92" s="71">
        <f t="shared" si="97"/>
        <v>183</v>
      </c>
      <c r="G92" s="72">
        <f t="shared" si="98"/>
        <v>0</v>
      </c>
      <c r="H92" s="57">
        <f t="shared" si="85"/>
        <v>0</v>
      </c>
      <c r="I92" s="73">
        <f t="shared" si="86"/>
        <v>0</v>
      </c>
      <c r="J92" s="74">
        <v>22</v>
      </c>
      <c r="K92" s="57">
        <f t="shared" si="87"/>
        <v>0</v>
      </c>
      <c r="L92" s="75">
        <f t="shared" si="88"/>
        <v>0</v>
      </c>
      <c r="M92" s="76">
        <f t="shared" si="89"/>
        <v>0</v>
      </c>
      <c r="N92" s="76">
        <f t="shared" si="90"/>
        <v>0</v>
      </c>
      <c r="O92" s="77">
        <f t="shared" si="91"/>
        <v>0</v>
      </c>
      <c r="P92" s="77">
        <f t="shared" si="92"/>
        <v>0</v>
      </c>
      <c r="Q92" s="76">
        <f t="shared" si="93"/>
        <v>0</v>
      </c>
      <c r="R92" s="76">
        <f t="shared" si="94"/>
        <v>0</v>
      </c>
      <c r="S92" s="57">
        <f t="shared" si="95"/>
        <v>0</v>
      </c>
    </row>
    <row r="93" spans="1:19" x14ac:dyDescent="0.4">
      <c r="A93" s="57"/>
      <c r="B93" s="57" t="str">
        <f t="shared" si="96"/>
        <v>BAN1843</v>
      </c>
      <c r="C93" s="57"/>
      <c r="D93" s="57"/>
      <c r="E93" s="57"/>
      <c r="F93" s="71">
        <f t="shared" si="97"/>
        <v>214</v>
      </c>
      <c r="G93" s="72">
        <f t="shared" si="98"/>
        <v>0</v>
      </c>
      <c r="H93" s="57">
        <f t="shared" si="85"/>
        <v>0</v>
      </c>
      <c r="I93" s="73">
        <f t="shared" si="86"/>
        <v>0</v>
      </c>
      <c r="J93" s="74">
        <v>22</v>
      </c>
      <c r="K93" s="57">
        <f t="shared" si="87"/>
        <v>0</v>
      </c>
      <c r="L93" s="75">
        <f t="shared" si="88"/>
        <v>0</v>
      </c>
      <c r="M93" s="76">
        <f t="shared" si="89"/>
        <v>0</v>
      </c>
      <c r="N93" s="76">
        <f t="shared" si="90"/>
        <v>0</v>
      </c>
      <c r="O93" s="77">
        <f t="shared" si="91"/>
        <v>0</v>
      </c>
      <c r="P93" s="77">
        <f t="shared" si="92"/>
        <v>0</v>
      </c>
      <c r="Q93" s="76">
        <f t="shared" si="93"/>
        <v>0</v>
      </c>
      <c r="R93" s="76">
        <f t="shared" si="94"/>
        <v>0</v>
      </c>
      <c r="S93" s="57">
        <f t="shared" si="95"/>
        <v>0</v>
      </c>
    </row>
    <row r="94" spans="1:19" x14ac:dyDescent="0.4">
      <c r="A94" s="57"/>
      <c r="B94" s="57" t="str">
        <f t="shared" si="96"/>
        <v>BAN1843</v>
      </c>
      <c r="C94" s="57"/>
      <c r="D94" s="79"/>
      <c r="E94" s="57"/>
      <c r="F94" s="71">
        <f t="shared" si="97"/>
        <v>245</v>
      </c>
      <c r="G94" s="72">
        <f t="shared" si="98"/>
        <v>0</v>
      </c>
      <c r="H94" s="57">
        <f t="shared" si="85"/>
        <v>0</v>
      </c>
      <c r="I94" s="73">
        <f t="shared" si="86"/>
        <v>0</v>
      </c>
      <c r="J94" s="74">
        <v>22</v>
      </c>
      <c r="K94" s="57">
        <f t="shared" si="87"/>
        <v>0</v>
      </c>
      <c r="L94" s="75">
        <f t="shared" si="88"/>
        <v>0</v>
      </c>
      <c r="M94" s="76">
        <f t="shared" si="89"/>
        <v>0</v>
      </c>
      <c r="N94" s="76">
        <f t="shared" si="90"/>
        <v>0</v>
      </c>
      <c r="O94" s="77">
        <f t="shared" si="91"/>
        <v>0</v>
      </c>
      <c r="P94" s="77">
        <f t="shared" si="92"/>
        <v>0</v>
      </c>
      <c r="Q94" s="76">
        <f t="shared" si="93"/>
        <v>0</v>
      </c>
      <c r="R94" s="76">
        <f t="shared" si="94"/>
        <v>0</v>
      </c>
      <c r="S94" s="57">
        <f t="shared" si="95"/>
        <v>0</v>
      </c>
    </row>
    <row r="95" spans="1:19" x14ac:dyDescent="0.4">
      <c r="A95" s="57"/>
      <c r="B95" s="57" t="str">
        <f t="shared" si="96"/>
        <v>BAN1843</v>
      </c>
      <c r="C95" s="57"/>
      <c r="D95" s="79"/>
      <c r="E95" s="57"/>
      <c r="F95" s="71">
        <f t="shared" si="97"/>
        <v>275</v>
      </c>
      <c r="G95" s="72">
        <f t="shared" si="98"/>
        <v>0</v>
      </c>
      <c r="H95" s="57">
        <f t="shared" si="85"/>
        <v>0</v>
      </c>
      <c r="I95" s="73">
        <f t="shared" si="86"/>
        <v>0</v>
      </c>
      <c r="J95" s="74">
        <v>22</v>
      </c>
      <c r="K95" s="57">
        <f t="shared" si="87"/>
        <v>0</v>
      </c>
      <c r="L95" s="75">
        <f t="shared" si="88"/>
        <v>0</v>
      </c>
      <c r="M95" s="76">
        <f t="shared" si="89"/>
        <v>0</v>
      </c>
      <c r="N95" s="76">
        <f t="shared" si="90"/>
        <v>0</v>
      </c>
      <c r="O95" s="77">
        <f t="shared" si="91"/>
        <v>0</v>
      </c>
      <c r="P95" s="77">
        <f t="shared" si="92"/>
        <v>0</v>
      </c>
      <c r="Q95" s="76">
        <f t="shared" si="93"/>
        <v>0</v>
      </c>
      <c r="R95" s="76">
        <f t="shared" si="94"/>
        <v>0</v>
      </c>
      <c r="S95" s="57">
        <f t="shared" si="95"/>
        <v>0</v>
      </c>
    </row>
    <row r="96" spans="1:19" x14ac:dyDescent="0.4">
      <c r="A96" s="57"/>
      <c r="B96" s="57" t="str">
        <f t="shared" si="96"/>
        <v>BAN1843</v>
      </c>
      <c r="C96" s="57"/>
      <c r="D96" s="57"/>
      <c r="E96" s="57"/>
      <c r="F96" s="71">
        <f t="shared" si="97"/>
        <v>306</v>
      </c>
      <c r="G96" s="72">
        <f t="shared" si="98"/>
        <v>0</v>
      </c>
      <c r="H96" s="57">
        <f t="shared" si="85"/>
        <v>0</v>
      </c>
      <c r="I96" s="73">
        <f t="shared" si="86"/>
        <v>0</v>
      </c>
      <c r="J96" s="74">
        <v>22</v>
      </c>
      <c r="K96" s="57">
        <f t="shared" si="87"/>
        <v>0</v>
      </c>
      <c r="L96" s="75">
        <f t="shared" si="88"/>
        <v>0</v>
      </c>
      <c r="M96" s="76">
        <f t="shared" si="89"/>
        <v>0</v>
      </c>
      <c r="N96" s="76">
        <f t="shared" si="90"/>
        <v>0</v>
      </c>
      <c r="O96" s="77">
        <f t="shared" si="91"/>
        <v>0</v>
      </c>
      <c r="P96" s="77">
        <f t="shared" si="92"/>
        <v>0</v>
      </c>
      <c r="Q96" s="76">
        <f t="shared" si="93"/>
        <v>0</v>
      </c>
      <c r="R96" s="76">
        <f t="shared" si="94"/>
        <v>0</v>
      </c>
      <c r="S96" s="57">
        <f t="shared" si="95"/>
        <v>0</v>
      </c>
    </row>
    <row r="97" spans="1:19" x14ac:dyDescent="0.4">
      <c r="A97" s="57"/>
      <c r="B97" s="57" t="str">
        <f t="shared" si="96"/>
        <v>BAN1843</v>
      </c>
      <c r="C97" s="57"/>
      <c r="D97" s="57"/>
      <c r="E97" s="57"/>
      <c r="F97" s="71">
        <f t="shared" si="97"/>
        <v>336</v>
      </c>
      <c r="G97" s="72">
        <f t="shared" si="98"/>
        <v>0</v>
      </c>
      <c r="H97" s="57">
        <f t="shared" si="85"/>
        <v>0</v>
      </c>
      <c r="I97" s="73">
        <f t="shared" si="86"/>
        <v>0</v>
      </c>
      <c r="J97" s="74">
        <v>22</v>
      </c>
      <c r="K97" s="57">
        <f t="shared" si="87"/>
        <v>0</v>
      </c>
      <c r="L97" s="75">
        <f t="shared" si="88"/>
        <v>0</v>
      </c>
      <c r="M97" s="76">
        <f t="shared" si="89"/>
        <v>0</v>
      </c>
      <c r="N97" s="76">
        <f t="shared" si="90"/>
        <v>0</v>
      </c>
      <c r="O97" s="77">
        <f t="shared" si="91"/>
        <v>0</v>
      </c>
      <c r="P97" s="77">
        <f t="shared" si="92"/>
        <v>0</v>
      </c>
      <c r="Q97" s="76">
        <f t="shared" si="93"/>
        <v>0</v>
      </c>
      <c r="R97" s="76">
        <f t="shared" si="94"/>
        <v>0</v>
      </c>
      <c r="S97" s="57">
        <f t="shared" si="95"/>
        <v>0</v>
      </c>
    </row>
    <row r="98" spans="1:19" x14ac:dyDescent="0.4">
      <c r="A98" s="57"/>
      <c r="B98" s="57" t="str">
        <f t="shared" si="96"/>
        <v>BAN1843</v>
      </c>
      <c r="C98" s="57"/>
      <c r="D98" s="57"/>
      <c r="E98" s="57"/>
      <c r="F98" s="71">
        <f t="shared" si="97"/>
        <v>367</v>
      </c>
      <c r="G98" s="72">
        <f t="shared" si="98"/>
        <v>0</v>
      </c>
      <c r="H98" s="57">
        <f t="shared" si="85"/>
        <v>0</v>
      </c>
      <c r="I98" s="73">
        <f t="shared" si="86"/>
        <v>0</v>
      </c>
      <c r="J98" s="74">
        <v>22</v>
      </c>
      <c r="K98" s="57">
        <f t="shared" si="87"/>
        <v>0</v>
      </c>
      <c r="L98" s="75">
        <f t="shared" si="88"/>
        <v>0</v>
      </c>
      <c r="M98" s="76">
        <f t="shared" si="89"/>
        <v>0</v>
      </c>
      <c r="N98" s="76">
        <f t="shared" si="90"/>
        <v>0</v>
      </c>
      <c r="O98" s="77">
        <f t="shared" si="91"/>
        <v>0</v>
      </c>
      <c r="P98" s="77">
        <f t="shared" si="92"/>
        <v>0</v>
      </c>
      <c r="Q98" s="76">
        <f t="shared" si="93"/>
        <v>0</v>
      </c>
      <c r="R98" s="76">
        <f t="shared" si="94"/>
        <v>0</v>
      </c>
      <c r="S98" s="57">
        <f t="shared" si="95"/>
        <v>0</v>
      </c>
    </row>
    <row r="99" spans="1:19" x14ac:dyDescent="0.4">
      <c r="B99" s="57"/>
    </row>
    <row r="100" spans="1:19" ht="123" customHeight="1" x14ac:dyDescent="0.4">
      <c r="A100" s="69" t="s">
        <v>11</v>
      </c>
      <c r="B100" s="69" t="s">
        <v>11</v>
      </c>
      <c r="C100" s="69" t="s">
        <v>155</v>
      </c>
      <c r="D100" s="69" t="s">
        <v>158</v>
      </c>
      <c r="E100" s="69" t="s">
        <v>185</v>
      </c>
      <c r="F100" s="69" t="s">
        <v>186</v>
      </c>
      <c r="G100" s="70" t="s">
        <v>156</v>
      </c>
      <c r="H100" s="69" t="s">
        <v>187</v>
      </c>
      <c r="I100" s="69" t="s">
        <v>188</v>
      </c>
      <c r="J100" s="69" t="s">
        <v>158</v>
      </c>
      <c r="K100" s="69" t="s">
        <v>159</v>
      </c>
      <c r="L100" s="69" t="s">
        <v>160</v>
      </c>
      <c r="M100" s="69" t="s">
        <v>161</v>
      </c>
      <c r="N100" s="69" t="s">
        <v>162</v>
      </c>
      <c r="O100" s="69" t="s">
        <v>163</v>
      </c>
      <c r="P100" s="69" t="s">
        <v>164</v>
      </c>
      <c r="Q100" s="69" t="s">
        <v>165</v>
      </c>
      <c r="R100" s="69" t="s">
        <v>166</v>
      </c>
      <c r="S100" s="69" t="s">
        <v>189</v>
      </c>
    </row>
    <row r="101" spans="1:19" x14ac:dyDescent="0.4">
      <c r="A101" s="57">
        <f>+A87+1</f>
        <v>8</v>
      </c>
      <c r="B101" s="57" t="str">
        <f>INDEX('sale resgister'!B:B,A101+1,1)</f>
        <v>MBAN1</v>
      </c>
      <c r="C101" s="71">
        <f>+VLOOKUP(B101,'sale resgister'!B:J,9,0)</f>
        <v>45878</v>
      </c>
      <c r="D101" s="79" t="str">
        <f>+VLOOKUP(B101,'sale resgister'!B:J,2,0)</f>
        <v>Batch 1</v>
      </c>
      <c r="E101" s="96">
        <f>IF(C101=0,0,VLOOKUP(B101,'sale resgister'!B:J,4,0))</f>
        <v>29.302</v>
      </c>
      <c r="F101" s="71">
        <f>DATE(YEAR(C101),MONTH(C101)+1,1)</f>
        <v>45901</v>
      </c>
      <c r="G101" s="72">
        <f>E101</f>
        <v>29.302</v>
      </c>
      <c r="H101" s="57">
        <f t="shared" ref="H101:H112" si="99">ROUND(+G101*$H$1,3)</f>
        <v>2.0510000000000002</v>
      </c>
      <c r="I101" s="73">
        <f t="shared" ref="I101:I112" si="100">IFERROR(+VLOOKUP(F101,$W$3:$X$15,2,0),0)</f>
        <v>10929</v>
      </c>
      <c r="J101" s="74">
        <v>22</v>
      </c>
      <c r="K101" s="57">
        <f t="shared" ref="K101:K112" si="101">ROUND(+H101*97%,3)</f>
        <v>1.9890000000000001</v>
      </c>
      <c r="L101" s="75">
        <f t="shared" ref="L101:L112" si="102">(K101-H101*92%)*I101</f>
        <v>1115.6323199999995</v>
      </c>
      <c r="M101" s="76">
        <f t="shared" ref="M101:M112" si="103">ROUND(I101*92%*H101,2)</f>
        <v>20622.150000000001</v>
      </c>
      <c r="N101" s="76">
        <f t="shared" ref="N101:N112" si="104">ROUND(+M101*0.11,2)</f>
        <v>2268.44</v>
      </c>
      <c r="O101" s="77">
        <f t="shared" ref="O101:O112" si="105">+N101-L101</f>
        <v>1152.8076800000006</v>
      </c>
      <c r="P101" s="77">
        <f t="shared" ref="P101:P112" si="106">ROUND(+O101*15%,2)</f>
        <v>172.92</v>
      </c>
      <c r="Q101" s="76">
        <f t="shared" ref="Q101:Q112" si="107">ROUND(+(O101-P101)*60%,2)</f>
        <v>587.92999999999995</v>
      </c>
      <c r="R101" s="76">
        <f t="shared" ref="R101:R112" si="108">ROUND(+(O101-P101)*40%,2)</f>
        <v>391.96</v>
      </c>
      <c r="S101" s="57">
        <f t="shared" ref="S101:S112" si="109">IFERROR(ROUND(+Q101/(I101/92%),3),0)</f>
        <v>4.9000000000000002E-2</v>
      </c>
    </row>
    <row r="102" spans="1:19" x14ac:dyDescent="0.4">
      <c r="A102" s="57"/>
      <c r="B102" s="57" t="str">
        <f t="shared" ref="B102:B112" si="110">+B101</f>
        <v>MBAN1</v>
      </c>
      <c r="C102" s="57"/>
      <c r="D102" s="57"/>
      <c r="E102" s="57"/>
      <c r="F102" s="71">
        <f t="shared" ref="F102:F112" si="111">IF(+DATE(YEAR(F101),MONTH(F101)+1,1)&gt;$G$1+1,0,+DATE(YEAR(F101),MONTH(F101)+1,1))</f>
        <v>45931</v>
      </c>
      <c r="G102" s="72">
        <f t="shared" ref="G102:G112" si="112">ROUND(IF(F102=0,0,(G101+S101)),3)</f>
        <v>29.350999999999999</v>
      </c>
      <c r="H102" s="57">
        <f t="shared" si="99"/>
        <v>2.0550000000000002</v>
      </c>
      <c r="I102" s="73">
        <f t="shared" si="100"/>
        <v>12115</v>
      </c>
      <c r="J102" s="74">
        <v>22</v>
      </c>
      <c r="K102" s="57">
        <f t="shared" si="101"/>
        <v>1.9930000000000001</v>
      </c>
      <c r="L102" s="75">
        <f t="shared" si="102"/>
        <v>1240.575999999998</v>
      </c>
      <c r="M102" s="76">
        <f t="shared" si="103"/>
        <v>22904.62</v>
      </c>
      <c r="N102" s="76">
        <f t="shared" si="104"/>
        <v>2519.5100000000002</v>
      </c>
      <c r="O102" s="77">
        <f t="shared" si="105"/>
        <v>1278.9340000000022</v>
      </c>
      <c r="P102" s="77">
        <f t="shared" si="106"/>
        <v>191.84</v>
      </c>
      <c r="Q102" s="76">
        <f t="shared" si="107"/>
        <v>652.26</v>
      </c>
      <c r="R102" s="76">
        <f t="shared" si="108"/>
        <v>434.84</v>
      </c>
      <c r="S102" s="57">
        <f t="shared" si="109"/>
        <v>0.05</v>
      </c>
    </row>
    <row r="103" spans="1:19" x14ac:dyDescent="0.4">
      <c r="A103" s="57"/>
      <c r="B103" s="57" t="str">
        <f t="shared" si="110"/>
        <v>MBAN1</v>
      </c>
      <c r="C103" s="57"/>
      <c r="D103" s="57"/>
      <c r="E103" s="71"/>
      <c r="F103" s="71">
        <f t="shared" si="111"/>
        <v>45962</v>
      </c>
      <c r="G103" s="72">
        <f t="shared" si="112"/>
        <v>29.401</v>
      </c>
      <c r="H103" s="57">
        <f t="shared" si="99"/>
        <v>2.0579999999999998</v>
      </c>
      <c r="I103" s="73">
        <f t="shared" si="100"/>
        <v>12490</v>
      </c>
      <c r="J103" s="74">
        <v>22</v>
      </c>
      <c r="K103" s="57">
        <f t="shared" si="101"/>
        <v>1.996</v>
      </c>
      <c r="L103" s="75">
        <f t="shared" si="102"/>
        <v>1281.9736000000007</v>
      </c>
      <c r="M103" s="76">
        <f t="shared" si="103"/>
        <v>23648.07</v>
      </c>
      <c r="N103" s="76">
        <f t="shared" si="104"/>
        <v>2601.29</v>
      </c>
      <c r="O103" s="77">
        <f t="shared" si="105"/>
        <v>1319.3163999999992</v>
      </c>
      <c r="P103" s="77">
        <f t="shared" si="106"/>
        <v>197.9</v>
      </c>
      <c r="Q103" s="76">
        <f t="shared" si="107"/>
        <v>672.85</v>
      </c>
      <c r="R103" s="76">
        <f t="shared" si="108"/>
        <v>448.57</v>
      </c>
      <c r="S103" s="57">
        <f t="shared" si="109"/>
        <v>0.05</v>
      </c>
    </row>
    <row r="104" spans="1:19" x14ac:dyDescent="0.4">
      <c r="A104" s="57"/>
      <c r="B104" s="57" t="str">
        <f t="shared" si="110"/>
        <v>MBAN1</v>
      </c>
      <c r="C104" s="57"/>
      <c r="D104" s="57"/>
      <c r="E104" s="57"/>
      <c r="F104" s="71">
        <f t="shared" si="111"/>
        <v>45992</v>
      </c>
      <c r="G104" s="72">
        <f t="shared" si="112"/>
        <v>29.451000000000001</v>
      </c>
      <c r="H104" s="57">
        <f t="shared" si="99"/>
        <v>2.0619999999999998</v>
      </c>
      <c r="I104" s="73">
        <f t="shared" si="100"/>
        <v>13220</v>
      </c>
      <c r="J104" s="74">
        <v>22</v>
      </c>
      <c r="K104" s="57">
        <f t="shared" si="101"/>
        <v>2</v>
      </c>
      <c r="L104" s="75">
        <f t="shared" si="102"/>
        <v>1361.1312000000021</v>
      </c>
      <c r="M104" s="76">
        <f t="shared" si="103"/>
        <v>25078.87</v>
      </c>
      <c r="N104" s="76">
        <f t="shared" si="104"/>
        <v>2758.68</v>
      </c>
      <c r="O104" s="77">
        <f t="shared" si="105"/>
        <v>1397.5487999999978</v>
      </c>
      <c r="P104" s="77">
        <f t="shared" si="106"/>
        <v>209.63</v>
      </c>
      <c r="Q104" s="76">
        <f t="shared" si="107"/>
        <v>712.75</v>
      </c>
      <c r="R104" s="76">
        <f t="shared" si="108"/>
        <v>475.17</v>
      </c>
      <c r="S104" s="57">
        <f t="shared" si="109"/>
        <v>0.05</v>
      </c>
    </row>
    <row r="105" spans="1:19" x14ac:dyDescent="0.4">
      <c r="A105" s="57"/>
      <c r="B105" s="57" t="str">
        <f t="shared" si="110"/>
        <v>MBAN1</v>
      </c>
      <c r="C105" s="71"/>
      <c r="D105" s="57"/>
      <c r="E105" s="57"/>
      <c r="F105" s="71">
        <f t="shared" si="111"/>
        <v>46023</v>
      </c>
      <c r="G105" s="72">
        <f t="shared" si="112"/>
        <v>29.501000000000001</v>
      </c>
      <c r="H105" s="57">
        <f t="shared" si="99"/>
        <v>2.0649999999999999</v>
      </c>
      <c r="I105" s="73">
        <f t="shared" si="100"/>
        <v>13790</v>
      </c>
      <c r="J105" s="74">
        <v>22</v>
      </c>
      <c r="K105" s="57">
        <f t="shared" si="101"/>
        <v>2.0030000000000001</v>
      </c>
      <c r="L105" s="75">
        <f t="shared" si="102"/>
        <v>1423.1280000000024</v>
      </c>
      <c r="M105" s="76">
        <f t="shared" si="103"/>
        <v>26198.240000000002</v>
      </c>
      <c r="N105" s="76">
        <f t="shared" si="104"/>
        <v>2881.81</v>
      </c>
      <c r="O105" s="77">
        <f t="shared" si="105"/>
        <v>1458.6819999999975</v>
      </c>
      <c r="P105" s="77">
        <f t="shared" si="106"/>
        <v>218.8</v>
      </c>
      <c r="Q105" s="76">
        <f t="shared" si="107"/>
        <v>743.93</v>
      </c>
      <c r="R105" s="76">
        <f t="shared" si="108"/>
        <v>495.95</v>
      </c>
      <c r="S105" s="57">
        <f t="shared" si="109"/>
        <v>0.05</v>
      </c>
    </row>
    <row r="106" spans="1:19" x14ac:dyDescent="0.4">
      <c r="A106" s="57"/>
      <c r="B106" s="57" t="str">
        <f t="shared" si="110"/>
        <v>MBAN1</v>
      </c>
      <c r="C106" s="57"/>
      <c r="D106" s="57"/>
      <c r="E106" s="57"/>
      <c r="F106" s="71">
        <f t="shared" si="111"/>
        <v>46054</v>
      </c>
      <c r="G106" s="72">
        <f t="shared" si="112"/>
        <v>29.550999999999998</v>
      </c>
      <c r="H106" s="57">
        <f t="shared" si="99"/>
        <v>2.069</v>
      </c>
      <c r="I106" s="73">
        <f t="shared" si="100"/>
        <v>15760</v>
      </c>
      <c r="J106" s="74">
        <v>22</v>
      </c>
      <c r="K106" s="57">
        <f t="shared" si="101"/>
        <v>2.0070000000000001</v>
      </c>
      <c r="L106" s="75">
        <f t="shared" si="102"/>
        <v>1631.475200000001</v>
      </c>
      <c r="M106" s="76">
        <f t="shared" si="103"/>
        <v>29998.84</v>
      </c>
      <c r="N106" s="76">
        <f t="shared" si="104"/>
        <v>3299.87</v>
      </c>
      <c r="O106" s="77">
        <f t="shared" si="105"/>
        <v>1668.3947999999989</v>
      </c>
      <c r="P106" s="77">
        <f t="shared" si="106"/>
        <v>250.26</v>
      </c>
      <c r="Q106" s="76">
        <f t="shared" si="107"/>
        <v>850.88</v>
      </c>
      <c r="R106" s="76">
        <f t="shared" si="108"/>
        <v>567.25</v>
      </c>
      <c r="S106" s="57">
        <f t="shared" si="109"/>
        <v>0.05</v>
      </c>
    </row>
    <row r="107" spans="1:19" x14ac:dyDescent="0.4">
      <c r="A107" s="57"/>
      <c r="B107" s="57" t="str">
        <f t="shared" si="110"/>
        <v>MBAN1</v>
      </c>
      <c r="C107" s="57"/>
      <c r="D107" s="57"/>
      <c r="E107" s="57"/>
      <c r="F107" s="71">
        <f t="shared" si="111"/>
        <v>46082</v>
      </c>
      <c r="G107" s="72">
        <f t="shared" si="112"/>
        <v>29.600999999999999</v>
      </c>
      <c r="H107" s="57">
        <f t="shared" si="99"/>
        <v>2.0720000000000001</v>
      </c>
      <c r="I107" s="73">
        <f t="shared" si="100"/>
        <v>17200</v>
      </c>
      <c r="J107" s="74">
        <v>22</v>
      </c>
      <c r="K107" s="57">
        <f t="shared" si="101"/>
        <v>2.0099999999999998</v>
      </c>
      <c r="L107" s="75">
        <f t="shared" si="102"/>
        <v>1784.6719999999937</v>
      </c>
      <c r="M107" s="76">
        <f t="shared" si="103"/>
        <v>32787.33</v>
      </c>
      <c r="N107" s="76">
        <f t="shared" si="104"/>
        <v>3606.61</v>
      </c>
      <c r="O107" s="77">
        <f t="shared" si="105"/>
        <v>1821.9380000000065</v>
      </c>
      <c r="P107" s="77">
        <f t="shared" si="106"/>
        <v>273.29000000000002</v>
      </c>
      <c r="Q107" s="76">
        <f t="shared" si="107"/>
        <v>929.19</v>
      </c>
      <c r="R107" s="76">
        <f t="shared" si="108"/>
        <v>619.46</v>
      </c>
      <c r="S107" s="57">
        <f t="shared" si="109"/>
        <v>0.05</v>
      </c>
    </row>
    <row r="108" spans="1:19" x14ac:dyDescent="0.4">
      <c r="A108" s="57"/>
      <c r="B108" s="57" t="str">
        <f t="shared" si="110"/>
        <v>MBAN1</v>
      </c>
      <c r="C108" s="57"/>
      <c r="D108" s="79"/>
      <c r="E108" s="57"/>
      <c r="F108" s="71">
        <f t="shared" si="111"/>
        <v>46113</v>
      </c>
      <c r="G108" s="72">
        <f t="shared" si="112"/>
        <v>29.651</v>
      </c>
      <c r="H108" s="57">
        <f t="shared" si="99"/>
        <v>2.0760000000000001</v>
      </c>
      <c r="I108" s="73">
        <f t="shared" si="100"/>
        <v>15450</v>
      </c>
      <c r="J108" s="74">
        <v>22</v>
      </c>
      <c r="K108" s="57">
        <f t="shared" si="101"/>
        <v>2.0139999999999998</v>
      </c>
      <c r="L108" s="75">
        <f t="shared" si="102"/>
        <v>1608.0359999999957</v>
      </c>
      <c r="M108" s="76">
        <f t="shared" si="103"/>
        <v>29508.26</v>
      </c>
      <c r="N108" s="76">
        <f t="shared" si="104"/>
        <v>3245.91</v>
      </c>
      <c r="O108" s="77">
        <f t="shared" si="105"/>
        <v>1637.8740000000041</v>
      </c>
      <c r="P108" s="77">
        <f t="shared" si="106"/>
        <v>245.68</v>
      </c>
      <c r="Q108" s="76">
        <f t="shared" si="107"/>
        <v>835.32</v>
      </c>
      <c r="R108" s="76">
        <f t="shared" si="108"/>
        <v>556.88</v>
      </c>
      <c r="S108" s="57">
        <f t="shared" si="109"/>
        <v>0.05</v>
      </c>
    </row>
    <row r="109" spans="1:19" x14ac:dyDescent="0.4">
      <c r="A109" s="57"/>
      <c r="B109" s="57" t="str">
        <f t="shared" si="110"/>
        <v>MBAN1</v>
      </c>
      <c r="C109" s="57"/>
      <c r="D109" s="79"/>
      <c r="E109" s="57"/>
      <c r="F109" s="71">
        <f t="shared" si="111"/>
        <v>0</v>
      </c>
      <c r="G109" s="72">
        <f t="shared" si="112"/>
        <v>0</v>
      </c>
      <c r="H109" s="57">
        <f t="shared" si="99"/>
        <v>0</v>
      </c>
      <c r="I109" s="73">
        <f t="shared" si="100"/>
        <v>0</v>
      </c>
      <c r="J109" s="74">
        <v>22</v>
      </c>
      <c r="K109" s="57">
        <f t="shared" si="101"/>
        <v>0</v>
      </c>
      <c r="L109" s="75">
        <f t="shared" si="102"/>
        <v>0</v>
      </c>
      <c r="M109" s="76">
        <f t="shared" si="103"/>
        <v>0</v>
      </c>
      <c r="N109" s="76">
        <f t="shared" si="104"/>
        <v>0</v>
      </c>
      <c r="O109" s="77">
        <f t="shared" si="105"/>
        <v>0</v>
      </c>
      <c r="P109" s="77">
        <f t="shared" si="106"/>
        <v>0</v>
      </c>
      <c r="Q109" s="76">
        <f t="shared" si="107"/>
        <v>0</v>
      </c>
      <c r="R109" s="76">
        <f t="shared" si="108"/>
        <v>0</v>
      </c>
      <c r="S109" s="57">
        <f t="shared" si="109"/>
        <v>0</v>
      </c>
    </row>
    <row r="110" spans="1:19" x14ac:dyDescent="0.4">
      <c r="A110" s="57"/>
      <c r="B110" s="57" t="str">
        <f t="shared" si="110"/>
        <v>MBAN1</v>
      </c>
      <c r="C110" s="57"/>
      <c r="D110" s="57"/>
      <c r="E110" s="57"/>
      <c r="F110" s="71">
        <f t="shared" si="111"/>
        <v>32</v>
      </c>
      <c r="G110" s="72">
        <f t="shared" si="112"/>
        <v>0</v>
      </c>
      <c r="H110" s="57">
        <f t="shared" si="99"/>
        <v>0</v>
      </c>
      <c r="I110" s="73">
        <f t="shared" si="100"/>
        <v>0</v>
      </c>
      <c r="J110" s="74">
        <v>22</v>
      </c>
      <c r="K110" s="57">
        <f t="shared" si="101"/>
        <v>0</v>
      </c>
      <c r="L110" s="75">
        <f t="shared" si="102"/>
        <v>0</v>
      </c>
      <c r="M110" s="76">
        <f t="shared" si="103"/>
        <v>0</v>
      </c>
      <c r="N110" s="76">
        <f t="shared" si="104"/>
        <v>0</v>
      </c>
      <c r="O110" s="77">
        <f t="shared" si="105"/>
        <v>0</v>
      </c>
      <c r="P110" s="77">
        <f t="shared" si="106"/>
        <v>0</v>
      </c>
      <c r="Q110" s="76">
        <f t="shared" si="107"/>
        <v>0</v>
      </c>
      <c r="R110" s="76">
        <f t="shared" si="108"/>
        <v>0</v>
      </c>
      <c r="S110" s="57">
        <f t="shared" si="109"/>
        <v>0</v>
      </c>
    </row>
    <row r="111" spans="1:19" x14ac:dyDescent="0.4">
      <c r="A111" s="57"/>
      <c r="B111" s="57" t="str">
        <f t="shared" si="110"/>
        <v>MBAN1</v>
      </c>
      <c r="C111" s="57"/>
      <c r="D111" s="57"/>
      <c r="E111" s="57"/>
      <c r="F111" s="71">
        <f t="shared" si="111"/>
        <v>61</v>
      </c>
      <c r="G111" s="72">
        <f t="shared" si="112"/>
        <v>0</v>
      </c>
      <c r="H111" s="57">
        <f t="shared" si="99"/>
        <v>0</v>
      </c>
      <c r="I111" s="73">
        <f t="shared" si="100"/>
        <v>0</v>
      </c>
      <c r="J111" s="74">
        <v>22</v>
      </c>
      <c r="K111" s="57">
        <f t="shared" si="101"/>
        <v>0</v>
      </c>
      <c r="L111" s="75">
        <f t="shared" si="102"/>
        <v>0</v>
      </c>
      <c r="M111" s="76">
        <f t="shared" si="103"/>
        <v>0</v>
      </c>
      <c r="N111" s="76">
        <f t="shared" si="104"/>
        <v>0</v>
      </c>
      <c r="O111" s="77">
        <f t="shared" si="105"/>
        <v>0</v>
      </c>
      <c r="P111" s="77">
        <f t="shared" si="106"/>
        <v>0</v>
      </c>
      <c r="Q111" s="76">
        <f t="shared" si="107"/>
        <v>0</v>
      </c>
      <c r="R111" s="76">
        <f t="shared" si="108"/>
        <v>0</v>
      </c>
      <c r="S111" s="57">
        <f t="shared" si="109"/>
        <v>0</v>
      </c>
    </row>
    <row r="112" spans="1:19" x14ac:dyDescent="0.4">
      <c r="A112" s="57"/>
      <c r="B112" s="57" t="str">
        <f t="shared" si="110"/>
        <v>MBAN1</v>
      </c>
      <c r="C112" s="57"/>
      <c r="D112" s="57"/>
      <c r="E112" s="57"/>
      <c r="F112" s="71">
        <f t="shared" si="111"/>
        <v>92</v>
      </c>
      <c r="G112" s="72">
        <f t="shared" si="112"/>
        <v>0</v>
      </c>
      <c r="H112" s="57">
        <f t="shared" si="99"/>
        <v>0</v>
      </c>
      <c r="I112" s="73">
        <f t="shared" si="100"/>
        <v>0</v>
      </c>
      <c r="J112" s="74">
        <v>22</v>
      </c>
      <c r="K112" s="57">
        <f t="shared" si="101"/>
        <v>0</v>
      </c>
      <c r="L112" s="75">
        <f t="shared" si="102"/>
        <v>0</v>
      </c>
      <c r="M112" s="76">
        <f t="shared" si="103"/>
        <v>0</v>
      </c>
      <c r="N112" s="76">
        <f t="shared" si="104"/>
        <v>0</v>
      </c>
      <c r="O112" s="77">
        <f t="shared" si="105"/>
        <v>0</v>
      </c>
      <c r="P112" s="77">
        <f t="shared" si="106"/>
        <v>0</v>
      </c>
      <c r="Q112" s="76">
        <f t="shared" si="107"/>
        <v>0</v>
      </c>
      <c r="R112" s="76">
        <f t="shared" si="108"/>
        <v>0</v>
      </c>
      <c r="S112" s="57">
        <f t="shared" si="109"/>
        <v>0</v>
      </c>
    </row>
    <row r="113" spans="1:19" x14ac:dyDescent="0.4">
      <c r="B113" s="57"/>
    </row>
    <row r="114" spans="1:19" ht="123" customHeight="1" x14ac:dyDescent="0.4">
      <c r="A114" s="69" t="s">
        <v>11</v>
      </c>
      <c r="B114" s="69" t="s">
        <v>11</v>
      </c>
      <c r="C114" s="69" t="s">
        <v>155</v>
      </c>
      <c r="D114" s="69" t="s">
        <v>158</v>
      </c>
      <c r="E114" s="69" t="s">
        <v>185</v>
      </c>
      <c r="F114" s="69" t="s">
        <v>186</v>
      </c>
      <c r="G114" s="70" t="s">
        <v>156</v>
      </c>
      <c r="H114" s="69" t="s">
        <v>187</v>
      </c>
      <c r="I114" s="69" t="s">
        <v>188</v>
      </c>
      <c r="J114" s="69" t="s">
        <v>158</v>
      </c>
      <c r="K114" s="69" t="s">
        <v>159</v>
      </c>
      <c r="L114" s="69" t="s">
        <v>160</v>
      </c>
      <c r="M114" s="69" t="s">
        <v>161</v>
      </c>
      <c r="N114" s="69" t="s">
        <v>162</v>
      </c>
      <c r="O114" s="69" t="s">
        <v>163</v>
      </c>
      <c r="P114" s="69" t="s">
        <v>164</v>
      </c>
      <c r="Q114" s="69" t="s">
        <v>165</v>
      </c>
      <c r="R114" s="69" t="s">
        <v>166</v>
      </c>
      <c r="S114" s="69" t="s">
        <v>189</v>
      </c>
    </row>
    <row r="115" spans="1:19" x14ac:dyDescent="0.4">
      <c r="A115" s="57">
        <f>+A101+1</f>
        <v>9</v>
      </c>
      <c r="B115" s="57" t="str">
        <f>INDEX('sale resgister'!B:B,A115+1,1)</f>
        <v>BRAC99440(MBRAC1)</v>
      </c>
      <c r="C115" s="71">
        <f>+VLOOKUP(B115,'sale resgister'!B:J,9,0)</f>
        <v>46093</v>
      </c>
      <c r="D115" s="79" t="str">
        <f>+VLOOKUP(B115,'sale resgister'!B:J,2,0)</f>
        <v>Batch 1</v>
      </c>
      <c r="E115" s="96">
        <f>IF(C115=0,0,VLOOKUP(B115,'sale resgister'!B:J,4,0))</f>
        <v>3.589</v>
      </c>
      <c r="F115" s="71">
        <f>DATE(YEAR(C115),MONTH(C115)+1,1)</f>
        <v>46113</v>
      </c>
      <c r="G115" s="72">
        <f>E115</f>
        <v>3.589</v>
      </c>
      <c r="H115" s="57">
        <f t="shared" ref="H115:H126" si="113">ROUND(+G115*$H$1,3)</f>
        <v>0.251</v>
      </c>
      <c r="I115" s="73">
        <f t="shared" ref="I115:I126" si="114">IFERROR(+VLOOKUP(F115,$W$3:$X$15,2,0),0)</f>
        <v>15450</v>
      </c>
      <c r="J115" s="74">
        <v>22</v>
      </c>
      <c r="K115" s="57">
        <f t="shared" ref="K115:K126" si="115">ROUND(+H115*97%,3)</f>
        <v>0.24299999999999999</v>
      </c>
      <c r="L115" s="75">
        <f t="shared" ref="L115:L126" si="116">(K115-H115*92%)*I115</f>
        <v>186.63599999999968</v>
      </c>
      <c r="M115" s="76">
        <f t="shared" ref="M115:M126" si="117">ROUND(I115*92%*H115,2)</f>
        <v>3567.71</v>
      </c>
      <c r="N115" s="76">
        <f t="shared" ref="N115:N126" si="118">ROUND(+M115*0.11,2)</f>
        <v>392.45</v>
      </c>
      <c r="O115" s="77">
        <f t="shared" ref="O115:O126" si="119">+N115-L115</f>
        <v>205.81400000000031</v>
      </c>
      <c r="P115" s="77">
        <f t="shared" ref="P115:P126" si="120">ROUND(+O115*15%,2)</f>
        <v>30.87</v>
      </c>
      <c r="Q115" s="76">
        <f t="shared" ref="Q115:Q126" si="121">ROUND(+(O115-P115)*60%,2)</f>
        <v>104.97</v>
      </c>
      <c r="R115" s="76">
        <f t="shared" ref="R115:R126" si="122">ROUND(+(O115-P115)*40%,2)</f>
        <v>69.98</v>
      </c>
      <c r="S115" s="57">
        <f t="shared" ref="S115:S126" si="123">IFERROR(ROUND(+Q115/(I115/92%),3),0)</f>
        <v>6.0000000000000001E-3</v>
      </c>
    </row>
    <row r="116" spans="1:19" x14ac:dyDescent="0.4">
      <c r="A116" s="57"/>
      <c r="B116" s="57" t="str">
        <f t="shared" ref="B116:B126" si="124">+B115</f>
        <v>BRAC99440(MBRAC1)</v>
      </c>
      <c r="C116" s="57"/>
      <c r="D116" s="57"/>
      <c r="E116" s="57"/>
      <c r="F116" s="71">
        <f t="shared" ref="F116:F126" si="125">IF(+DATE(YEAR(F115),MONTH(F115)+1,1)&gt;$G$1+1,0,+DATE(YEAR(F115),MONTH(F115)+1,1))</f>
        <v>0</v>
      </c>
      <c r="G116" s="72">
        <f t="shared" ref="G116:G126" si="126">ROUND(IF(F116=0,0,(G115+S115)),3)</f>
        <v>0</v>
      </c>
      <c r="H116" s="57">
        <f t="shared" si="113"/>
        <v>0</v>
      </c>
      <c r="I116" s="73">
        <f t="shared" si="114"/>
        <v>0</v>
      </c>
      <c r="J116" s="74">
        <v>22</v>
      </c>
      <c r="K116" s="57">
        <f t="shared" si="115"/>
        <v>0</v>
      </c>
      <c r="L116" s="75">
        <f t="shared" si="116"/>
        <v>0</v>
      </c>
      <c r="M116" s="76">
        <f t="shared" si="117"/>
        <v>0</v>
      </c>
      <c r="N116" s="76">
        <f t="shared" si="118"/>
        <v>0</v>
      </c>
      <c r="O116" s="77">
        <f t="shared" si="119"/>
        <v>0</v>
      </c>
      <c r="P116" s="77">
        <f t="shared" si="120"/>
        <v>0</v>
      </c>
      <c r="Q116" s="76">
        <f t="shared" si="121"/>
        <v>0</v>
      </c>
      <c r="R116" s="76">
        <f t="shared" si="122"/>
        <v>0</v>
      </c>
      <c r="S116" s="57">
        <f t="shared" si="123"/>
        <v>0</v>
      </c>
    </row>
    <row r="117" spans="1:19" x14ac:dyDescent="0.4">
      <c r="A117" s="57"/>
      <c r="B117" s="57" t="str">
        <f t="shared" si="124"/>
        <v>BRAC99440(MBRAC1)</v>
      </c>
      <c r="C117" s="57"/>
      <c r="D117" s="57"/>
      <c r="E117" s="71"/>
      <c r="F117" s="71">
        <f t="shared" si="125"/>
        <v>32</v>
      </c>
      <c r="G117" s="72">
        <f t="shared" si="126"/>
        <v>0</v>
      </c>
      <c r="H117" s="57">
        <f t="shared" si="113"/>
        <v>0</v>
      </c>
      <c r="I117" s="73">
        <f t="shared" si="114"/>
        <v>0</v>
      </c>
      <c r="J117" s="74">
        <v>22</v>
      </c>
      <c r="K117" s="57">
        <f t="shared" si="115"/>
        <v>0</v>
      </c>
      <c r="L117" s="75">
        <f t="shared" si="116"/>
        <v>0</v>
      </c>
      <c r="M117" s="76">
        <f t="shared" si="117"/>
        <v>0</v>
      </c>
      <c r="N117" s="76">
        <f t="shared" si="118"/>
        <v>0</v>
      </c>
      <c r="O117" s="77">
        <f t="shared" si="119"/>
        <v>0</v>
      </c>
      <c r="P117" s="77">
        <f t="shared" si="120"/>
        <v>0</v>
      </c>
      <c r="Q117" s="76">
        <f t="shared" si="121"/>
        <v>0</v>
      </c>
      <c r="R117" s="76">
        <f t="shared" si="122"/>
        <v>0</v>
      </c>
      <c r="S117" s="57">
        <f t="shared" si="123"/>
        <v>0</v>
      </c>
    </row>
    <row r="118" spans="1:19" x14ac:dyDescent="0.4">
      <c r="A118" s="57"/>
      <c r="B118" s="57" t="str">
        <f t="shared" si="124"/>
        <v>BRAC99440(MBRAC1)</v>
      </c>
      <c r="C118" s="57"/>
      <c r="D118" s="57"/>
      <c r="E118" s="57"/>
      <c r="F118" s="71">
        <f t="shared" si="125"/>
        <v>61</v>
      </c>
      <c r="G118" s="72">
        <f t="shared" si="126"/>
        <v>0</v>
      </c>
      <c r="H118" s="57">
        <f t="shared" si="113"/>
        <v>0</v>
      </c>
      <c r="I118" s="73">
        <f t="shared" si="114"/>
        <v>0</v>
      </c>
      <c r="J118" s="74">
        <v>22</v>
      </c>
      <c r="K118" s="57">
        <f t="shared" si="115"/>
        <v>0</v>
      </c>
      <c r="L118" s="75">
        <f t="shared" si="116"/>
        <v>0</v>
      </c>
      <c r="M118" s="76">
        <f t="shared" si="117"/>
        <v>0</v>
      </c>
      <c r="N118" s="76">
        <f t="shared" si="118"/>
        <v>0</v>
      </c>
      <c r="O118" s="77">
        <f t="shared" si="119"/>
        <v>0</v>
      </c>
      <c r="P118" s="77">
        <f t="shared" si="120"/>
        <v>0</v>
      </c>
      <c r="Q118" s="76">
        <f t="shared" si="121"/>
        <v>0</v>
      </c>
      <c r="R118" s="76">
        <f t="shared" si="122"/>
        <v>0</v>
      </c>
      <c r="S118" s="57">
        <f t="shared" si="123"/>
        <v>0</v>
      </c>
    </row>
    <row r="119" spans="1:19" x14ac:dyDescent="0.4">
      <c r="A119" s="57"/>
      <c r="B119" s="57" t="str">
        <f t="shared" si="124"/>
        <v>BRAC99440(MBRAC1)</v>
      </c>
      <c r="C119" s="71"/>
      <c r="D119" s="57"/>
      <c r="E119" s="57"/>
      <c r="F119" s="71">
        <f t="shared" si="125"/>
        <v>92</v>
      </c>
      <c r="G119" s="72">
        <f t="shared" si="126"/>
        <v>0</v>
      </c>
      <c r="H119" s="57">
        <f t="shared" si="113"/>
        <v>0</v>
      </c>
      <c r="I119" s="73">
        <f t="shared" si="114"/>
        <v>0</v>
      </c>
      <c r="J119" s="74">
        <v>22</v>
      </c>
      <c r="K119" s="57">
        <f t="shared" si="115"/>
        <v>0</v>
      </c>
      <c r="L119" s="75">
        <f t="shared" si="116"/>
        <v>0</v>
      </c>
      <c r="M119" s="76">
        <f t="shared" si="117"/>
        <v>0</v>
      </c>
      <c r="N119" s="76">
        <f t="shared" si="118"/>
        <v>0</v>
      </c>
      <c r="O119" s="77">
        <f t="shared" si="119"/>
        <v>0</v>
      </c>
      <c r="P119" s="77">
        <f t="shared" si="120"/>
        <v>0</v>
      </c>
      <c r="Q119" s="76">
        <f t="shared" si="121"/>
        <v>0</v>
      </c>
      <c r="R119" s="76">
        <f t="shared" si="122"/>
        <v>0</v>
      </c>
      <c r="S119" s="57">
        <f t="shared" si="123"/>
        <v>0</v>
      </c>
    </row>
    <row r="120" spans="1:19" x14ac:dyDescent="0.4">
      <c r="A120" s="57"/>
      <c r="B120" s="57" t="str">
        <f t="shared" si="124"/>
        <v>BRAC99440(MBRAC1)</v>
      </c>
      <c r="C120" s="57"/>
      <c r="D120" s="57"/>
      <c r="E120" s="57"/>
      <c r="F120" s="71">
        <f t="shared" si="125"/>
        <v>122</v>
      </c>
      <c r="G120" s="72">
        <f t="shared" si="126"/>
        <v>0</v>
      </c>
      <c r="H120" s="57">
        <f t="shared" si="113"/>
        <v>0</v>
      </c>
      <c r="I120" s="73">
        <f t="shared" si="114"/>
        <v>0</v>
      </c>
      <c r="J120" s="74">
        <v>22</v>
      </c>
      <c r="K120" s="57">
        <f t="shared" si="115"/>
        <v>0</v>
      </c>
      <c r="L120" s="75">
        <f t="shared" si="116"/>
        <v>0</v>
      </c>
      <c r="M120" s="76">
        <f t="shared" si="117"/>
        <v>0</v>
      </c>
      <c r="N120" s="76">
        <f t="shared" si="118"/>
        <v>0</v>
      </c>
      <c r="O120" s="77">
        <f t="shared" si="119"/>
        <v>0</v>
      </c>
      <c r="P120" s="77">
        <f t="shared" si="120"/>
        <v>0</v>
      </c>
      <c r="Q120" s="76">
        <f t="shared" si="121"/>
        <v>0</v>
      </c>
      <c r="R120" s="76">
        <f t="shared" si="122"/>
        <v>0</v>
      </c>
      <c r="S120" s="57">
        <f t="shared" si="123"/>
        <v>0</v>
      </c>
    </row>
    <row r="121" spans="1:19" x14ac:dyDescent="0.4">
      <c r="A121" s="57"/>
      <c r="B121" s="57" t="str">
        <f t="shared" si="124"/>
        <v>BRAC99440(MBRAC1)</v>
      </c>
      <c r="C121" s="57"/>
      <c r="D121" s="57"/>
      <c r="E121" s="57"/>
      <c r="F121" s="71">
        <f t="shared" si="125"/>
        <v>153</v>
      </c>
      <c r="G121" s="72">
        <f t="shared" si="126"/>
        <v>0</v>
      </c>
      <c r="H121" s="57">
        <f t="shared" si="113"/>
        <v>0</v>
      </c>
      <c r="I121" s="73">
        <f t="shared" si="114"/>
        <v>0</v>
      </c>
      <c r="J121" s="74">
        <v>22</v>
      </c>
      <c r="K121" s="57">
        <f t="shared" si="115"/>
        <v>0</v>
      </c>
      <c r="L121" s="75">
        <f t="shared" si="116"/>
        <v>0</v>
      </c>
      <c r="M121" s="76">
        <f t="shared" si="117"/>
        <v>0</v>
      </c>
      <c r="N121" s="76">
        <f t="shared" si="118"/>
        <v>0</v>
      </c>
      <c r="O121" s="77">
        <f t="shared" si="119"/>
        <v>0</v>
      </c>
      <c r="P121" s="77">
        <f t="shared" si="120"/>
        <v>0</v>
      </c>
      <c r="Q121" s="76">
        <f t="shared" si="121"/>
        <v>0</v>
      </c>
      <c r="R121" s="76">
        <f t="shared" si="122"/>
        <v>0</v>
      </c>
      <c r="S121" s="57">
        <f t="shared" si="123"/>
        <v>0</v>
      </c>
    </row>
    <row r="122" spans="1:19" x14ac:dyDescent="0.4">
      <c r="A122" s="57"/>
      <c r="B122" s="57" t="str">
        <f t="shared" si="124"/>
        <v>BRAC99440(MBRAC1)</v>
      </c>
      <c r="C122" s="57"/>
      <c r="D122" s="79"/>
      <c r="E122" s="57"/>
      <c r="F122" s="71">
        <f t="shared" si="125"/>
        <v>183</v>
      </c>
      <c r="G122" s="72">
        <f t="shared" si="126"/>
        <v>0</v>
      </c>
      <c r="H122" s="57">
        <f t="shared" si="113"/>
        <v>0</v>
      </c>
      <c r="I122" s="73">
        <f t="shared" si="114"/>
        <v>0</v>
      </c>
      <c r="J122" s="74">
        <v>22</v>
      </c>
      <c r="K122" s="57">
        <f t="shared" si="115"/>
        <v>0</v>
      </c>
      <c r="L122" s="75">
        <f t="shared" si="116"/>
        <v>0</v>
      </c>
      <c r="M122" s="76">
        <f t="shared" si="117"/>
        <v>0</v>
      </c>
      <c r="N122" s="76">
        <f t="shared" si="118"/>
        <v>0</v>
      </c>
      <c r="O122" s="77">
        <f t="shared" si="119"/>
        <v>0</v>
      </c>
      <c r="P122" s="77">
        <f t="shared" si="120"/>
        <v>0</v>
      </c>
      <c r="Q122" s="76">
        <f t="shared" si="121"/>
        <v>0</v>
      </c>
      <c r="R122" s="76">
        <f t="shared" si="122"/>
        <v>0</v>
      </c>
      <c r="S122" s="57">
        <f t="shared" si="123"/>
        <v>0</v>
      </c>
    </row>
    <row r="123" spans="1:19" x14ac:dyDescent="0.4">
      <c r="A123" s="57"/>
      <c r="B123" s="57" t="str">
        <f t="shared" si="124"/>
        <v>BRAC99440(MBRAC1)</v>
      </c>
      <c r="C123" s="57"/>
      <c r="D123" s="79"/>
      <c r="E123" s="57"/>
      <c r="F123" s="71">
        <f t="shared" si="125"/>
        <v>214</v>
      </c>
      <c r="G123" s="72">
        <f t="shared" si="126"/>
        <v>0</v>
      </c>
      <c r="H123" s="57">
        <f t="shared" si="113"/>
        <v>0</v>
      </c>
      <c r="I123" s="73">
        <f t="shared" si="114"/>
        <v>0</v>
      </c>
      <c r="J123" s="74">
        <v>22</v>
      </c>
      <c r="K123" s="57">
        <f t="shared" si="115"/>
        <v>0</v>
      </c>
      <c r="L123" s="75">
        <f t="shared" si="116"/>
        <v>0</v>
      </c>
      <c r="M123" s="76">
        <f t="shared" si="117"/>
        <v>0</v>
      </c>
      <c r="N123" s="76">
        <f t="shared" si="118"/>
        <v>0</v>
      </c>
      <c r="O123" s="77">
        <f t="shared" si="119"/>
        <v>0</v>
      </c>
      <c r="P123" s="77">
        <f t="shared" si="120"/>
        <v>0</v>
      </c>
      <c r="Q123" s="76">
        <f t="shared" si="121"/>
        <v>0</v>
      </c>
      <c r="R123" s="76">
        <f t="shared" si="122"/>
        <v>0</v>
      </c>
      <c r="S123" s="57">
        <f t="shared" si="123"/>
        <v>0</v>
      </c>
    </row>
    <row r="124" spans="1:19" x14ac:dyDescent="0.4">
      <c r="A124" s="57"/>
      <c r="B124" s="57" t="str">
        <f t="shared" si="124"/>
        <v>BRAC99440(MBRAC1)</v>
      </c>
      <c r="C124" s="57"/>
      <c r="D124" s="57"/>
      <c r="E124" s="57"/>
      <c r="F124" s="71">
        <f t="shared" si="125"/>
        <v>245</v>
      </c>
      <c r="G124" s="72">
        <f t="shared" si="126"/>
        <v>0</v>
      </c>
      <c r="H124" s="57">
        <f t="shared" si="113"/>
        <v>0</v>
      </c>
      <c r="I124" s="73">
        <f t="shared" si="114"/>
        <v>0</v>
      </c>
      <c r="J124" s="74">
        <v>22</v>
      </c>
      <c r="K124" s="57">
        <f t="shared" si="115"/>
        <v>0</v>
      </c>
      <c r="L124" s="75">
        <f t="shared" si="116"/>
        <v>0</v>
      </c>
      <c r="M124" s="76">
        <f t="shared" si="117"/>
        <v>0</v>
      </c>
      <c r="N124" s="76">
        <f t="shared" si="118"/>
        <v>0</v>
      </c>
      <c r="O124" s="77">
        <f t="shared" si="119"/>
        <v>0</v>
      </c>
      <c r="P124" s="77">
        <f t="shared" si="120"/>
        <v>0</v>
      </c>
      <c r="Q124" s="76">
        <f t="shared" si="121"/>
        <v>0</v>
      </c>
      <c r="R124" s="76">
        <f t="shared" si="122"/>
        <v>0</v>
      </c>
      <c r="S124" s="57">
        <f t="shared" si="123"/>
        <v>0</v>
      </c>
    </row>
    <row r="125" spans="1:19" x14ac:dyDescent="0.4">
      <c r="A125" s="57"/>
      <c r="B125" s="57" t="str">
        <f t="shared" si="124"/>
        <v>BRAC99440(MBRAC1)</v>
      </c>
      <c r="C125" s="57"/>
      <c r="D125" s="57"/>
      <c r="E125" s="57"/>
      <c r="F125" s="71">
        <f t="shared" si="125"/>
        <v>275</v>
      </c>
      <c r="G125" s="72">
        <f t="shared" si="126"/>
        <v>0</v>
      </c>
      <c r="H125" s="57">
        <f t="shared" si="113"/>
        <v>0</v>
      </c>
      <c r="I125" s="73">
        <f t="shared" si="114"/>
        <v>0</v>
      </c>
      <c r="J125" s="74">
        <v>22</v>
      </c>
      <c r="K125" s="57">
        <f t="shared" si="115"/>
        <v>0</v>
      </c>
      <c r="L125" s="75">
        <f t="shared" si="116"/>
        <v>0</v>
      </c>
      <c r="M125" s="76">
        <f t="shared" si="117"/>
        <v>0</v>
      </c>
      <c r="N125" s="76">
        <f t="shared" si="118"/>
        <v>0</v>
      </c>
      <c r="O125" s="77">
        <f t="shared" si="119"/>
        <v>0</v>
      </c>
      <c r="P125" s="77">
        <f t="shared" si="120"/>
        <v>0</v>
      </c>
      <c r="Q125" s="76">
        <f t="shared" si="121"/>
        <v>0</v>
      </c>
      <c r="R125" s="76">
        <f t="shared" si="122"/>
        <v>0</v>
      </c>
      <c r="S125" s="57">
        <f t="shared" si="123"/>
        <v>0</v>
      </c>
    </row>
    <row r="126" spans="1:19" x14ac:dyDescent="0.4">
      <c r="A126" s="57"/>
      <c r="B126" s="57" t="str">
        <f t="shared" si="124"/>
        <v>BRAC99440(MBRAC1)</v>
      </c>
      <c r="C126" s="57"/>
      <c r="D126" s="57"/>
      <c r="E126" s="57"/>
      <c r="F126" s="71">
        <f t="shared" si="125"/>
        <v>306</v>
      </c>
      <c r="G126" s="72">
        <f t="shared" si="126"/>
        <v>0</v>
      </c>
      <c r="H126" s="57">
        <f t="shared" si="113"/>
        <v>0</v>
      </c>
      <c r="I126" s="73">
        <f t="shared" si="114"/>
        <v>0</v>
      </c>
      <c r="J126" s="74">
        <v>22</v>
      </c>
      <c r="K126" s="57">
        <f t="shared" si="115"/>
        <v>0</v>
      </c>
      <c r="L126" s="75">
        <f t="shared" si="116"/>
        <v>0</v>
      </c>
      <c r="M126" s="76">
        <f t="shared" si="117"/>
        <v>0</v>
      </c>
      <c r="N126" s="76">
        <f t="shared" si="118"/>
        <v>0</v>
      </c>
      <c r="O126" s="77">
        <f t="shared" si="119"/>
        <v>0</v>
      </c>
      <c r="P126" s="77">
        <f t="shared" si="120"/>
        <v>0</v>
      </c>
      <c r="Q126" s="76">
        <f t="shared" si="121"/>
        <v>0</v>
      </c>
      <c r="R126" s="76">
        <f t="shared" si="122"/>
        <v>0</v>
      </c>
      <c r="S126" s="57">
        <f t="shared" si="123"/>
        <v>0</v>
      </c>
    </row>
    <row r="127" spans="1:19" x14ac:dyDescent="0.4">
      <c r="B127" s="57"/>
    </row>
    <row r="128" spans="1:19" ht="123" customHeight="1" x14ac:dyDescent="0.4">
      <c r="A128" s="69" t="s">
        <v>11</v>
      </c>
      <c r="B128" s="69" t="s">
        <v>11</v>
      </c>
      <c r="C128" s="69" t="s">
        <v>155</v>
      </c>
      <c r="D128" s="69" t="s">
        <v>158</v>
      </c>
      <c r="E128" s="69" t="s">
        <v>185</v>
      </c>
      <c r="F128" s="69" t="s">
        <v>186</v>
      </c>
      <c r="G128" s="70" t="s">
        <v>156</v>
      </c>
      <c r="H128" s="69" t="s">
        <v>187</v>
      </c>
      <c r="I128" s="69" t="s">
        <v>188</v>
      </c>
      <c r="J128" s="69" t="s">
        <v>158</v>
      </c>
      <c r="K128" s="69" t="s">
        <v>159</v>
      </c>
      <c r="L128" s="69" t="s">
        <v>160</v>
      </c>
      <c r="M128" s="69" t="s">
        <v>161</v>
      </c>
      <c r="N128" s="69" t="s">
        <v>162</v>
      </c>
      <c r="O128" s="69" t="s">
        <v>163</v>
      </c>
      <c r="P128" s="69" t="s">
        <v>164</v>
      </c>
      <c r="Q128" s="69" t="s">
        <v>165</v>
      </c>
      <c r="R128" s="69" t="s">
        <v>166</v>
      </c>
      <c r="S128" s="69" t="s">
        <v>189</v>
      </c>
    </row>
    <row r="129" spans="1:19" x14ac:dyDescent="0.4">
      <c r="A129" s="57">
        <f>+A115+1</f>
        <v>10</v>
      </c>
      <c r="B129" s="57" t="str">
        <f>INDEX('sale resgister'!B:B,A129+1,1)</f>
        <v>COIN 50GM 4 PCS</v>
      </c>
      <c r="C129" s="71">
        <f>+VLOOKUP(B129,'sale resgister'!B:J,9,0)</f>
        <v>0</v>
      </c>
      <c r="D129" s="79" t="str">
        <f>+VLOOKUP(B129,'sale resgister'!B:J,2,0)</f>
        <v>Batch 1</v>
      </c>
      <c r="E129" s="96">
        <f>IF(C129=0,0,VLOOKUP(B129,'sale resgister'!B:J,4,0))</f>
        <v>0</v>
      </c>
      <c r="F129" s="71">
        <f>DATE(YEAR(C129),MONTH(C129)+1,1)</f>
        <v>32</v>
      </c>
      <c r="G129" s="72">
        <f>E129</f>
        <v>0</v>
      </c>
      <c r="H129" s="57">
        <f t="shared" ref="H129:H140" si="127">ROUND(+G129*$H$1,3)</f>
        <v>0</v>
      </c>
      <c r="I129" s="73">
        <f t="shared" ref="I129:I140" si="128">IFERROR(+VLOOKUP(F129,$W$3:$X$15,2,0),0)</f>
        <v>0</v>
      </c>
      <c r="J129" s="74">
        <v>22</v>
      </c>
      <c r="K129" s="57">
        <f t="shared" ref="K129:K140" si="129">ROUND(+H129*97%,3)</f>
        <v>0</v>
      </c>
      <c r="L129" s="75">
        <f t="shared" ref="L129:L140" si="130">(K129-H129*92%)*I129</f>
        <v>0</v>
      </c>
      <c r="M129" s="76">
        <f t="shared" ref="M129:M140" si="131">ROUND(I129*92%*H129,2)</f>
        <v>0</v>
      </c>
      <c r="N129" s="76">
        <f t="shared" ref="N129:N140" si="132">ROUND(+M129*0.11,2)</f>
        <v>0</v>
      </c>
      <c r="O129" s="77">
        <f t="shared" ref="O129:O140" si="133">+N129-L129</f>
        <v>0</v>
      </c>
      <c r="P129" s="77">
        <f t="shared" ref="P129:P140" si="134">ROUND(+O129*15%,2)</f>
        <v>0</v>
      </c>
      <c r="Q129" s="76">
        <f t="shared" ref="Q129:Q140" si="135">ROUND(+(O129-P129)*60%,2)</f>
        <v>0</v>
      </c>
      <c r="R129" s="76">
        <f t="shared" ref="R129:R140" si="136">ROUND(+(O129-P129)*40%,2)</f>
        <v>0</v>
      </c>
      <c r="S129" s="57">
        <f t="shared" ref="S129:S140" si="137">IFERROR(ROUND(+Q129/(I129/92%),3),0)</f>
        <v>0</v>
      </c>
    </row>
    <row r="130" spans="1:19" x14ac:dyDescent="0.4">
      <c r="A130" s="57"/>
      <c r="B130" s="57" t="str">
        <f t="shared" ref="B130:B140" si="138">+B129</f>
        <v>COIN 50GM 4 PCS</v>
      </c>
      <c r="C130" s="57"/>
      <c r="D130" s="57"/>
      <c r="E130" s="57"/>
      <c r="F130" s="71">
        <f t="shared" ref="F130:F140" si="139">IF(+DATE(YEAR(F129),MONTH(F129)+1,1)&gt;$G$1+1,0,+DATE(YEAR(F129),MONTH(F129)+1,1))</f>
        <v>61</v>
      </c>
      <c r="G130" s="72">
        <f t="shared" ref="G130:G140" si="140">ROUND(IF(F130=0,0,(G129+S129)),3)</f>
        <v>0</v>
      </c>
      <c r="H130" s="57">
        <f t="shared" si="127"/>
        <v>0</v>
      </c>
      <c r="I130" s="73">
        <f t="shared" si="128"/>
        <v>0</v>
      </c>
      <c r="J130" s="74">
        <v>22</v>
      </c>
      <c r="K130" s="57">
        <f t="shared" si="129"/>
        <v>0</v>
      </c>
      <c r="L130" s="75">
        <f t="shared" si="130"/>
        <v>0</v>
      </c>
      <c r="M130" s="76">
        <f t="shared" si="131"/>
        <v>0</v>
      </c>
      <c r="N130" s="76">
        <f t="shared" si="132"/>
        <v>0</v>
      </c>
      <c r="O130" s="77">
        <f t="shared" si="133"/>
        <v>0</v>
      </c>
      <c r="P130" s="77">
        <f t="shared" si="134"/>
        <v>0</v>
      </c>
      <c r="Q130" s="76">
        <f t="shared" si="135"/>
        <v>0</v>
      </c>
      <c r="R130" s="76">
        <f t="shared" si="136"/>
        <v>0</v>
      </c>
      <c r="S130" s="57">
        <f t="shared" si="137"/>
        <v>0</v>
      </c>
    </row>
    <row r="131" spans="1:19" x14ac:dyDescent="0.4">
      <c r="A131" s="57"/>
      <c r="B131" s="57" t="str">
        <f t="shared" si="138"/>
        <v>COIN 50GM 4 PCS</v>
      </c>
      <c r="C131" s="57"/>
      <c r="D131" s="57"/>
      <c r="E131" s="71"/>
      <c r="F131" s="71">
        <f t="shared" si="139"/>
        <v>92</v>
      </c>
      <c r="G131" s="72">
        <f t="shared" si="140"/>
        <v>0</v>
      </c>
      <c r="H131" s="57">
        <f t="shared" si="127"/>
        <v>0</v>
      </c>
      <c r="I131" s="73">
        <f t="shared" si="128"/>
        <v>0</v>
      </c>
      <c r="J131" s="74">
        <v>22</v>
      </c>
      <c r="K131" s="57">
        <f t="shared" si="129"/>
        <v>0</v>
      </c>
      <c r="L131" s="75">
        <f t="shared" si="130"/>
        <v>0</v>
      </c>
      <c r="M131" s="76">
        <f t="shared" si="131"/>
        <v>0</v>
      </c>
      <c r="N131" s="76">
        <f t="shared" si="132"/>
        <v>0</v>
      </c>
      <c r="O131" s="77">
        <f t="shared" si="133"/>
        <v>0</v>
      </c>
      <c r="P131" s="77">
        <f t="shared" si="134"/>
        <v>0</v>
      </c>
      <c r="Q131" s="76">
        <f t="shared" si="135"/>
        <v>0</v>
      </c>
      <c r="R131" s="76">
        <f t="shared" si="136"/>
        <v>0</v>
      </c>
      <c r="S131" s="57">
        <f t="shared" si="137"/>
        <v>0</v>
      </c>
    </row>
    <row r="132" spans="1:19" x14ac:dyDescent="0.4">
      <c r="A132" s="57"/>
      <c r="B132" s="57" t="str">
        <f t="shared" si="138"/>
        <v>COIN 50GM 4 PCS</v>
      </c>
      <c r="C132" s="57"/>
      <c r="D132" s="57"/>
      <c r="E132" s="57"/>
      <c r="F132" s="71">
        <f t="shared" si="139"/>
        <v>122</v>
      </c>
      <c r="G132" s="72">
        <f t="shared" si="140"/>
        <v>0</v>
      </c>
      <c r="H132" s="57">
        <f t="shared" si="127"/>
        <v>0</v>
      </c>
      <c r="I132" s="73">
        <f t="shared" si="128"/>
        <v>0</v>
      </c>
      <c r="J132" s="74">
        <v>22</v>
      </c>
      <c r="K132" s="57">
        <f t="shared" si="129"/>
        <v>0</v>
      </c>
      <c r="L132" s="75">
        <f t="shared" si="130"/>
        <v>0</v>
      </c>
      <c r="M132" s="76">
        <f t="shared" si="131"/>
        <v>0</v>
      </c>
      <c r="N132" s="76">
        <f t="shared" si="132"/>
        <v>0</v>
      </c>
      <c r="O132" s="77">
        <f t="shared" si="133"/>
        <v>0</v>
      </c>
      <c r="P132" s="77">
        <f t="shared" si="134"/>
        <v>0</v>
      </c>
      <c r="Q132" s="76">
        <f t="shared" si="135"/>
        <v>0</v>
      </c>
      <c r="R132" s="76">
        <f t="shared" si="136"/>
        <v>0</v>
      </c>
      <c r="S132" s="57">
        <f t="shared" si="137"/>
        <v>0</v>
      </c>
    </row>
    <row r="133" spans="1:19" x14ac:dyDescent="0.4">
      <c r="A133" s="57"/>
      <c r="B133" s="57" t="str">
        <f t="shared" si="138"/>
        <v>COIN 50GM 4 PCS</v>
      </c>
      <c r="C133" s="71"/>
      <c r="D133" s="57"/>
      <c r="E133" s="57"/>
      <c r="F133" s="71">
        <f t="shared" si="139"/>
        <v>153</v>
      </c>
      <c r="G133" s="72">
        <f t="shared" si="140"/>
        <v>0</v>
      </c>
      <c r="H133" s="57">
        <f t="shared" si="127"/>
        <v>0</v>
      </c>
      <c r="I133" s="73">
        <f t="shared" si="128"/>
        <v>0</v>
      </c>
      <c r="J133" s="74">
        <v>22</v>
      </c>
      <c r="K133" s="57">
        <f t="shared" si="129"/>
        <v>0</v>
      </c>
      <c r="L133" s="75">
        <f t="shared" si="130"/>
        <v>0</v>
      </c>
      <c r="M133" s="76">
        <f t="shared" si="131"/>
        <v>0</v>
      </c>
      <c r="N133" s="76">
        <f t="shared" si="132"/>
        <v>0</v>
      </c>
      <c r="O133" s="77">
        <f t="shared" si="133"/>
        <v>0</v>
      </c>
      <c r="P133" s="77">
        <f t="shared" si="134"/>
        <v>0</v>
      </c>
      <c r="Q133" s="76">
        <f t="shared" si="135"/>
        <v>0</v>
      </c>
      <c r="R133" s="76">
        <f t="shared" si="136"/>
        <v>0</v>
      </c>
      <c r="S133" s="57">
        <f t="shared" si="137"/>
        <v>0</v>
      </c>
    </row>
    <row r="134" spans="1:19" x14ac:dyDescent="0.4">
      <c r="A134" s="57"/>
      <c r="B134" s="57" t="str">
        <f t="shared" si="138"/>
        <v>COIN 50GM 4 PCS</v>
      </c>
      <c r="C134" s="57"/>
      <c r="D134" s="57"/>
      <c r="E134" s="57"/>
      <c r="F134" s="71">
        <f t="shared" si="139"/>
        <v>183</v>
      </c>
      <c r="G134" s="72">
        <f t="shared" si="140"/>
        <v>0</v>
      </c>
      <c r="H134" s="57">
        <f t="shared" si="127"/>
        <v>0</v>
      </c>
      <c r="I134" s="73">
        <f t="shared" si="128"/>
        <v>0</v>
      </c>
      <c r="J134" s="74">
        <v>22</v>
      </c>
      <c r="K134" s="57">
        <f t="shared" si="129"/>
        <v>0</v>
      </c>
      <c r="L134" s="75">
        <f t="shared" si="130"/>
        <v>0</v>
      </c>
      <c r="M134" s="76">
        <f t="shared" si="131"/>
        <v>0</v>
      </c>
      <c r="N134" s="76">
        <f t="shared" si="132"/>
        <v>0</v>
      </c>
      <c r="O134" s="77">
        <f t="shared" si="133"/>
        <v>0</v>
      </c>
      <c r="P134" s="77">
        <f t="shared" si="134"/>
        <v>0</v>
      </c>
      <c r="Q134" s="76">
        <f t="shared" si="135"/>
        <v>0</v>
      </c>
      <c r="R134" s="76">
        <f t="shared" si="136"/>
        <v>0</v>
      </c>
      <c r="S134" s="57">
        <f t="shared" si="137"/>
        <v>0</v>
      </c>
    </row>
    <row r="135" spans="1:19" x14ac:dyDescent="0.4">
      <c r="A135" s="57"/>
      <c r="B135" s="57" t="str">
        <f t="shared" si="138"/>
        <v>COIN 50GM 4 PCS</v>
      </c>
      <c r="C135" s="57"/>
      <c r="D135" s="57"/>
      <c r="E135" s="57"/>
      <c r="F135" s="71">
        <f t="shared" si="139"/>
        <v>214</v>
      </c>
      <c r="G135" s="72">
        <f t="shared" si="140"/>
        <v>0</v>
      </c>
      <c r="H135" s="57">
        <f t="shared" si="127"/>
        <v>0</v>
      </c>
      <c r="I135" s="73">
        <f t="shared" si="128"/>
        <v>0</v>
      </c>
      <c r="J135" s="74">
        <v>22</v>
      </c>
      <c r="K135" s="57">
        <f t="shared" si="129"/>
        <v>0</v>
      </c>
      <c r="L135" s="75">
        <f t="shared" si="130"/>
        <v>0</v>
      </c>
      <c r="M135" s="76">
        <f t="shared" si="131"/>
        <v>0</v>
      </c>
      <c r="N135" s="76">
        <f t="shared" si="132"/>
        <v>0</v>
      </c>
      <c r="O135" s="77">
        <f t="shared" si="133"/>
        <v>0</v>
      </c>
      <c r="P135" s="77">
        <f t="shared" si="134"/>
        <v>0</v>
      </c>
      <c r="Q135" s="76">
        <f t="shared" si="135"/>
        <v>0</v>
      </c>
      <c r="R135" s="76">
        <f t="shared" si="136"/>
        <v>0</v>
      </c>
      <c r="S135" s="57">
        <f t="shared" si="137"/>
        <v>0</v>
      </c>
    </row>
    <row r="136" spans="1:19" x14ac:dyDescent="0.4">
      <c r="A136" s="57"/>
      <c r="B136" s="57" t="str">
        <f t="shared" si="138"/>
        <v>COIN 50GM 4 PCS</v>
      </c>
      <c r="C136" s="57"/>
      <c r="D136" s="79"/>
      <c r="E136" s="57"/>
      <c r="F136" s="71">
        <f t="shared" si="139"/>
        <v>245</v>
      </c>
      <c r="G136" s="72">
        <f t="shared" si="140"/>
        <v>0</v>
      </c>
      <c r="H136" s="57">
        <f t="shared" si="127"/>
        <v>0</v>
      </c>
      <c r="I136" s="73">
        <f t="shared" si="128"/>
        <v>0</v>
      </c>
      <c r="J136" s="74">
        <v>22</v>
      </c>
      <c r="K136" s="57">
        <f t="shared" si="129"/>
        <v>0</v>
      </c>
      <c r="L136" s="75">
        <f t="shared" si="130"/>
        <v>0</v>
      </c>
      <c r="M136" s="76">
        <f t="shared" si="131"/>
        <v>0</v>
      </c>
      <c r="N136" s="76">
        <f t="shared" si="132"/>
        <v>0</v>
      </c>
      <c r="O136" s="77">
        <f t="shared" si="133"/>
        <v>0</v>
      </c>
      <c r="P136" s="77">
        <f t="shared" si="134"/>
        <v>0</v>
      </c>
      <c r="Q136" s="76">
        <f t="shared" si="135"/>
        <v>0</v>
      </c>
      <c r="R136" s="76">
        <f t="shared" si="136"/>
        <v>0</v>
      </c>
      <c r="S136" s="57">
        <f t="shared" si="137"/>
        <v>0</v>
      </c>
    </row>
    <row r="137" spans="1:19" x14ac:dyDescent="0.4">
      <c r="A137" s="57"/>
      <c r="B137" s="57" t="str">
        <f t="shared" si="138"/>
        <v>COIN 50GM 4 PCS</v>
      </c>
      <c r="C137" s="57"/>
      <c r="D137" s="79"/>
      <c r="E137" s="57"/>
      <c r="F137" s="71">
        <f t="shared" si="139"/>
        <v>275</v>
      </c>
      <c r="G137" s="72">
        <f t="shared" si="140"/>
        <v>0</v>
      </c>
      <c r="H137" s="57">
        <f t="shared" si="127"/>
        <v>0</v>
      </c>
      <c r="I137" s="73">
        <f t="shared" si="128"/>
        <v>0</v>
      </c>
      <c r="J137" s="74">
        <v>22</v>
      </c>
      <c r="K137" s="57">
        <f t="shared" si="129"/>
        <v>0</v>
      </c>
      <c r="L137" s="75">
        <f t="shared" si="130"/>
        <v>0</v>
      </c>
      <c r="M137" s="76">
        <f t="shared" si="131"/>
        <v>0</v>
      </c>
      <c r="N137" s="76">
        <f t="shared" si="132"/>
        <v>0</v>
      </c>
      <c r="O137" s="77">
        <f t="shared" si="133"/>
        <v>0</v>
      </c>
      <c r="P137" s="77">
        <f t="shared" si="134"/>
        <v>0</v>
      </c>
      <c r="Q137" s="76">
        <f t="shared" si="135"/>
        <v>0</v>
      </c>
      <c r="R137" s="76">
        <f t="shared" si="136"/>
        <v>0</v>
      </c>
      <c r="S137" s="57">
        <f t="shared" si="137"/>
        <v>0</v>
      </c>
    </row>
    <row r="138" spans="1:19" x14ac:dyDescent="0.4">
      <c r="A138" s="57"/>
      <c r="B138" s="57" t="str">
        <f t="shared" si="138"/>
        <v>COIN 50GM 4 PCS</v>
      </c>
      <c r="C138" s="57"/>
      <c r="D138" s="57"/>
      <c r="E138" s="57"/>
      <c r="F138" s="71">
        <f t="shared" si="139"/>
        <v>306</v>
      </c>
      <c r="G138" s="72">
        <f t="shared" si="140"/>
        <v>0</v>
      </c>
      <c r="H138" s="57">
        <f t="shared" si="127"/>
        <v>0</v>
      </c>
      <c r="I138" s="73">
        <f t="shared" si="128"/>
        <v>0</v>
      </c>
      <c r="J138" s="74">
        <v>22</v>
      </c>
      <c r="K138" s="57">
        <f t="shared" si="129"/>
        <v>0</v>
      </c>
      <c r="L138" s="75">
        <f t="shared" si="130"/>
        <v>0</v>
      </c>
      <c r="M138" s="76">
        <f t="shared" si="131"/>
        <v>0</v>
      </c>
      <c r="N138" s="76">
        <f t="shared" si="132"/>
        <v>0</v>
      </c>
      <c r="O138" s="77">
        <f t="shared" si="133"/>
        <v>0</v>
      </c>
      <c r="P138" s="77">
        <f t="shared" si="134"/>
        <v>0</v>
      </c>
      <c r="Q138" s="76">
        <f t="shared" si="135"/>
        <v>0</v>
      </c>
      <c r="R138" s="76">
        <f t="shared" si="136"/>
        <v>0</v>
      </c>
      <c r="S138" s="57">
        <f t="shared" si="137"/>
        <v>0</v>
      </c>
    </row>
    <row r="139" spans="1:19" x14ac:dyDescent="0.4">
      <c r="A139" s="57"/>
      <c r="B139" s="57" t="str">
        <f t="shared" si="138"/>
        <v>COIN 50GM 4 PCS</v>
      </c>
      <c r="C139" s="57"/>
      <c r="D139" s="57"/>
      <c r="E139" s="57"/>
      <c r="F139" s="71">
        <f t="shared" si="139"/>
        <v>336</v>
      </c>
      <c r="G139" s="72">
        <f t="shared" si="140"/>
        <v>0</v>
      </c>
      <c r="H139" s="57">
        <f t="shared" si="127"/>
        <v>0</v>
      </c>
      <c r="I139" s="73">
        <f t="shared" si="128"/>
        <v>0</v>
      </c>
      <c r="J139" s="74">
        <v>22</v>
      </c>
      <c r="K139" s="57">
        <f t="shared" si="129"/>
        <v>0</v>
      </c>
      <c r="L139" s="75">
        <f t="shared" si="130"/>
        <v>0</v>
      </c>
      <c r="M139" s="76">
        <f t="shared" si="131"/>
        <v>0</v>
      </c>
      <c r="N139" s="76">
        <f t="shared" si="132"/>
        <v>0</v>
      </c>
      <c r="O139" s="77">
        <f t="shared" si="133"/>
        <v>0</v>
      </c>
      <c r="P139" s="77">
        <f t="shared" si="134"/>
        <v>0</v>
      </c>
      <c r="Q139" s="76">
        <f t="shared" si="135"/>
        <v>0</v>
      </c>
      <c r="R139" s="76">
        <f t="shared" si="136"/>
        <v>0</v>
      </c>
      <c r="S139" s="57">
        <f t="shared" si="137"/>
        <v>0</v>
      </c>
    </row>
    <row r="140" spans="1:19" x14ac:dyDescent="0.4">
      <c r="A140" s="57"/>
      <c r="B140" s="57" t="str">
        <f t="shared" si="138"/>
        <v>COIN 50GM 4 PCS</v>
      </c>
      <c r="C140" s="57"/>
      <c r="D140" s="57"/>
      <c r="E140" s="57"/>
      <c r="F140" s="71">
        <f t="shared" si="139"/>
        <v>367</v>
      </c>
      <c r="G140" s="72">
        <f t="shared" si="140"/>
        <v>0</v>
      </c>
      <c r="H140" s="57">
        <f t="shared" si="127"/>
        <v>0</v>
      </c>
      <c r="I140" s="73">
        <f t="shared" si="128"/>
        <v>0</v>
      </c>
      <c r="J140" s="74">
        <v>22</v>
      </c>
      <c r="K140" s="57">
        <f t="shared" si="129"/>
        <v>0</v>
      </c>
      <c r="L140" s="75">
        <f t="shared" si="130"/>
        <v>0</v>
      </c>
      <c r="M140" s="76">
        <f t="shared" si="131"/>
        <v>0</v>
      </c>
      <c r="N140" s="76">
        <f t="shared" si="132"/>
        <v>0</v>
      </c>
      <c r="O140" s="77">
        <f t="shared" si="133"/>
        <v>0</v>
      </c>
      <c r="P140" s="77">
        <f t="shared" si="134"/>
        <v>0</v>
      </c>
      <c r="Q140" s="76">
        <f t="shared" si="135"/>
        <v>0</v>
      </c>
      <c r="R140" s="76">
        <f t="shared" si="136"/>
        <v>0</v>
      </c>
      <c r="S140" s="57">
        <f t="shared" si="137"/>
        <v>0</v>
      </c>
    </row>
    <row r="141" spans="1:19" x14ac:dyDescent="0.4">
      <c r="B141" s="57"/>
    </row>
    <row r="142" spans="1:19" ht="123" customHeight="1" x14ac:dyDescent="0.4">
      <c r="A142" s="69" t="s">
        <v>11</v>
      </c>
      <c r="B142" s="69" t="s">
        <v>11</v>
      </c>
      <c r="C142" s="69" t="s">
        <v>155</v>
      </c>
      <c r="D142" s="69" t="s">
        <v>158</v>
      </c>
      <c r="E142" s="69" t="s">
        <v>185</v>
      </c>
      <c r="F142" s="69" t="s">
        <v>186</v>
      </c>
      <c r="G142" s="70" t="s">
        <v>156</v>
      </c>
      <c r="H142" s="69" t="s">
        <v>187</v>
      </c>
      <c r="I142" s="69" t="s">
        <v>188</v>
      </c>
      <c r="J142" s="69" t="s">
        <v>158</v>
      </c>
      <c r="K142" s="69" t="s">
        <v>159</v>
      </c>
      <c r="L142" s="69" t="s">
        <v>160</v>
      </c>
      <c r="M142" s="69" t="s">
        <v>161</v>
      </c>
      <c r="N142" s="69" t="s">
        <v>162</v>
      </c>
      <c r="O142" s="69" t="s">
        <v>163</v>
      </c>
      <c r="P142" s="69" t="s">
        <v>164</v>
      </c>
      <c r="Q142" s="69" t="s">
        <v>165</v>
      </c>
      <c r="R142" s="69" t="s">
        <v>166</v>
      </c>
      <c r="S142" s="69" t="s">
        <v>189</v>
      </c>
    </row>
    <row r="143" spans="1:19" x14ac:dyDescent="0.4">
      <c r="A143" s="57">
        <f>+A129+1</f>
        <v>11</v>
      </c>
      <c r="B143" s="57" t="str">
        <f>INDEX('sale resgister'!B:B,A143+1,1)</f>
        <v>MIX BANGLES 97.110 @ 90%</v>
      </c>
      <c r="C143" s="71">
        <f>+VLOOKUP(B143,'sale resgister'!B:J,9,0)</f>
        <v>0</v>
      </c>
      <c r="D143" s="79" t="str">
        <f>+VLOOKUP(B143,'sale resgister'!B:J,2,0)</f>
        <v>Batch 1</v>
      </c>
      <c r="E143" s="96">
        <f>IF(C143=0,0,VLOOKUP(B143,'sale resgister'!B:J,4,0))</f>
        <v>0</v>
      </c>
      <c r="F143" s="71">
        <f>DATE(YEAR(C143),MONTH(C143)+1,1)</f>
        <v>32</v>
      </c>
      <c r="G143" s="72">
        <f>E143</f>
        <v>0</v>
      </c>
      <c r="H143" s="57">
        <f t="shared" ref="H143:H154" si="141">ROUND(+G143*$H$1,3)</f>
        <v>0</v>
      </c>
      <c r="I143" s="73">
        <f t="shared" ref="I143:I154" si="142">IFERROR(+VLOOKUP(F143,$W$3:$X$15,2,0),0)</f>
        <v>0</v>
      </c>
      <c r="J143" s="74">
        <v>22</v>
      </c>
      <c r="K143" s="57">
        <f t="shared" ref="K143:K154" si="143">ROUND(+H143*97%,3)</f>
        <v>0</v>
      </c>
      <c r="L143" s="75">
        <f t="shared" ref="L143:L154" si="144">(K143-H143*92%)*I143</f>
        <v>0</v>
      </c>
      <c r="M143" s="76">
        <f t="shared" ref="M143:M154" si="145">ROUND(I143*92%*H143,2)</f>
        <v>0</v>
      </c>
      <c r="N143" s="76">
        <f t="shared" ref="N143:N154" si="146">ROUND(+M143*0.11,2)</f>
        <v>0</v>
      </c>
      <c r="O143" s="77">
        <f t="shared" ref="O143:O154" si="147">+N143-L143</f>
        <v>0</v>
      </c>
      <c r="P143" s="77">
        <f t="shared" ref="P143:P154" si="148">ROUND(+O143*15%,2)</f>
        <v>0</v>
      </c>
      <c r="Q143" s="76">
        <f t="shared" ref="Q143:Q154" si="149">ROUND(+(O143-P143)*60%,2)</f>
        <v>0</v>
      </c>
      <c r="R143" s="76">
        <f t="shared" ref="R143:R154" si="150">ROUND(+(O143-P143)*40%,2)</f>
        <v>0</v>
      </c>
      <c r="S143" s="57">
        <f t="shared" ref="S143:S154" si="151">IFERROR(ROUND(+Q143/(I143/92%),3),0)</f>
        <v>0</v>
      </c>
    </row>
    <row r="144" spans="1:19" x14ac:dyDescent="0.4">
      <c r="A144" s="57"/>
      <c r="B144" s="57" t="str">
        <f t="shared" ref="B144:B154" si="152">+B143</f>
        <v>MIX BANGLES 97.110 @ 90%</v>
      </c>
      <c r="C144" s="57"/>
      <c r="D144" s="57"/>
      <c r="E144" s="57"/>
      <c r="F144" s="71">
        <f t="shared" ref="F144:F154" si="153">IF(+DATE(YEAR(F143),MONTH(F143)+1,1)&gt;$G$1+1,0,+DATE(YEAR(F143),MONTH(F143)+1,1))</f>
        <v>61</v>
      </c>
      <c r="G144" s="72">
        <f t="shared" ref="G144:G154" si="154">ROUND(IF(F144=0,0,(G143+S143)),3)</f>
        <v>0</v>
      </c>
      <c r="H144" s="57">
        <f t="shared" si="141"/>
        <v>0</v>
      </c>
      <c r="I144" s="73">
        <f t="shared" si="142"/>
        <v>0</v>
      </c>
      <c r="J144" s="74">
        <v>22</v>
      </c>
      <c r="K144" s="57">
        <f t="shared" si="143"/>
        <v>0</v>
      </c>
      <c r="L144" s="75">
        <f t="shared" si="144"/>
        <v>0</v>
      </c>
      <c r="M144" s="76">
        <f t="shared" si="145"/>
        <v>0</v>
      </c>
      <c r="N144" s="76">
        <f t="shared" si="146"/>
        <v>0</v>
      </c>
      <c r="O144" s="77">
        <f t="shared" si="147"/>
        <v>0</v>
      </c>
      <c r="P144" s="77">
        <f t="shared" si="148"/>
        <v>0</v>
      </c>
      <c r="Q144" s="76">
        <f t="shared" si="149"/>
        <v>0</v>
      </c>
      <c r="R144" s="76">
        <f t="shared" si="150"/>
        <v>0</v>
      </c>
      <c r="S144" s="57">
        <f t="shared" si="151"/>
        <v>0</v>
      </c>
    </row>
    <row r="145" spans="1:19" x14ac:dyDescent="0.4">
      <c r="A145" s="57"/>
      <c r="B145" s="57" t="str">
        <f t="shared" si="152"/>
        <v>MIX BANGLES 97.110 @ 90%</v>
      </c>
      <c r="C145" s="57"/>
      <c r="D145" s="57"/>
      <c r="E145" s="71"/>
      <c r="F145" s="71">
        <f t="shared" si="153"/>
        <v>92</v>
      </c>
      <c r="G145" s="72">
        <f t="shared" si="154"/>
        <v>0</v>
      </c>
      <c r="H145" s="57">
        <f t="shared" si="141"/>
        <v>0</v>
      </c>
      <c r="I145" s="73">
        <f t="shared" si="142"/>
        <v>0</v>
      </c>
      <c r="J145" s="74">
        <v>22</v>
      </c>
      <c r="K145" s="57">
        <f t="shared" si="143"/>
        <v>0</v>
      </c>
      <c r="L145" s="75">
        <f t="shared" si="144"/>
        <v>0</v>
      </c>
      <c r="M145" s="76">
        <f t="shared" si="145"/>
        <v>0</v>
      </c>
      <c r="N145" s="76">
        <f t="shared" si="146"/>
        <v>0</v>
      </c>
      <c r="O145" s="77">
        <f t="shared" si="147"/>
        <v>0</v>
      </c>
      <c r="P145" s="77">
        <f t="shared" si="148"/>
        <v>0</v>
      </c>
      <c r="Q145" s="76">
        <f t="shared" si="149"/>
        <v>0</v>
      </c>
      <c r="R145" s="76">
        <f t="shared" si="150"/>
        <v>0</v>
      </c>
      <c r="S145" s="57">
        <f t="shared" si="151"/>
        <v>0</v>
      </c>
    </row>
    <row r="146" spans="1:19" x14ac:dyDescent="0.4">
      <c r="A146" s="57"/>
      <c r="B146" s="57" t="str">
        <f t="shared" si="152"/>
        <v>MIX BANGLES 97.110 @ 90%</v>
      </c>
      <c r="C146" s="57"/>
      <c r="D146" s="57"/>
      <c r="E146" s="57"/>
      <c r="F146" s="71">
        <f t="shared" si="153"/>
        <v>122</v>
      </c>
      <c r="G146" s="72">
        <f t="shared" si="154"/>
        <v>0</v>
      </c>
      <c r="H146" s="57">
        <f t="shared" si="141"/>
        <v>0</v>
      </c>
      <c r="I146" s="73">
        <f t="shared" si="142"/>
        <v>0</v>
      </c>
      <c r="J146" s="74">
        <v>22</v>
      </c>
      <c r="K146" s="57">
        <f t="shared" si="143"/>
        <v>0</v>
      </c>
      <c r="L146" s="75">
        <f t="shared" si="144"/>
        <v>0</v>
      </c>
      <c r="M146" s="76">
        <f t="shared" si="145"/>
        <v>0</v>
      </c>
      <c r="N146" s="76">
        <f t="shared" si="146"/>
        <v>0</v>
      </c>
      <c r="O146" s="77">
        <f t="shared" si="147"/>
        <v>0</v>
      </c>
      <c r="P146" s="77">
        <f t="shared" si="148"/>
        <v>0</v>
      </c>
      <c r="Q146" s="76">
        <f t="shared" si="149"/>
        <v>0</v>
      </c>
      <c r="R146" s="76">
        <f t="shared" si="150"/>
        <v>0</v>
      </c>
      <c r="S146" s="57">
        <f t="shared" si="151"/>
        <v>0</v>
      </c>
    </row>
    <row r="147" spans="1:19" x14ac:dyDescent="0.4">
      <c r="A147" s="57"/>
      <c r="B147" s="57" t="str">
        <f t="shared" si="152"/>
        <v>MIX BANGLES 97.110 @ 90%</v>
      </c>
      <c r="C147" s="71"/>
      <c r="D147" s="57"/>
      <c r="E147" s="57"/>
      <c r="F147" s="71">
        <f t="shared" si="153"/>
        <v>153</v>
      </c>
      <c r="G147" s="72">
        <f t="shared" si="154"/>
        <v>0</v>
      </c>
      <c r="H147" s="57">
        <f t="shared" si="141"/>
        <v>0</v>
      </c>
      <c r="I147" s="73">
        <f t="shared" si="142"/>
        <v>0</v>
      </c>
      <c r="J147" s="74">
        <v>22</v>
      </c>
      <c r="K147" s="57">
        <f t="shared" si="143"/>
        <v>0</v>
      </c>
      <c r="L147" s="75">
        <f t="shared" si="144"/>
        <v>0</v>
      </c>
      <c r="M147" s="76">
        <f t="shared" si="145"/>
        <v>0</v>
      </c>
      <c r="N147" s="76">
        <f t="shared" si="146"/>
        <v>0</v>
      </c>
      <c r="O147" s="77">
        <f t="shared" si="147"/>
        <v>0</v>
      </c>
      <c r="P147" s="77">
        <f t="shared" si="148"/>
        <v>0</v>
      </c>
      <c r="Q147" s="76">
        <f t="shared" si="149"/>
        <v>0</v>
      </c>
      <c r="R147" s="76">
        <f t="shared" si="150"/>
        <v>0</v>
      </c>
      <c r="S147" s="57">
        <f t="shared" si="151"/>
        <v>0</v>
      </c>
    </row>
    <row r="148" spans="1:19" x14ac:dyDescent="0.4">
      <c r="A148" s="57"/>
      <c r="B148" s="57" t="str">
        <f t="shared" si="152"/>
        <v>MIX BANGLES 97.110 @ 90%</v>
      </c>
      <c r="C148" s="57"/>
      <c r="D148" s="57"/>
      <c r="E148" s="57"/>
      <c r="F148" s="71">
        <f t="shared" si="153"/>
        <v>183</v>
      </c>
      <c r="G148" s="72">
        <f t="shared" si="154"/>
        <v>0</v>
      </c>
      <c r="H148" s="57">
        <f t="shared" si="141"/>
        <v>0</v>
      </c>
      <c r="I148" s="73">
        <f t="shared" si="142"/>
        <v>0</v>
      </c>
      <c r="J148" s="74">
        <v>22</v>
      </c>
      <c r="K148" s="57">
        <f t="shared" si="143"/>
        <v>0</v>
      </c>
      <c r="L148" s="75">
        <f t="shared" si="144"/>
        <v>0</v>
      </c>
      <c r="M148" s="76">
        <f t="shared" si="145"/>
        <v>0</v>
      </c>
      <c r="N148" s="76">
        <f t="shared" si="146"/>
        <v>0</v>
      </c>
      <c r="O148" s="77">
        <f t="shared" si="147"/>
        <v>0</v>
      </c>
      <c r="P148" s="77">
        <f t="shared" si="148"/>
        <v>0</v>
      </c>
      <c r="Q148" s="76">
        <f t="shared" si="149"/>
        <v>0</v>
      </c>
      <c r="R148" s="76">
        <f t="shared" si="150"/>
        <v>0</v>
      </c>
      <c r="S148" s="57">
        <f t="shared" si="151"/>
        <v>0</v>
      </c>
    </row>
    <row r="149" spans="1:19" x14ac:dyDescent="0.4">
      <c r="A149" s="57"/>
      <c r="B149" s="57" t="str">
        <f t="shared" si="152"/>
        <v>MIX BANGLES 97.110 @ 90%</v>
      </c>
      <c r="C149" s="57"/>
      <c r="D149" s="57"/>
      <c r="E149" s="57"/>
      <c r="F149" s="71">
        <f t="shared" si="153"/>
        <v>214</v>
      </c>
      <c r="G149" s="72">
        <f t="shared" si="154"/>
        <v>0</v>
      </c>
      <c r="H149" s="57">
        <f t="shared" si="141"/>
        <v>0</v>
      </c>
      <c r="I149" s="73">
        <f t="shared" si="142"/>
        <v>0</v>
      </c>
      <c r="J149" s="74">
        <v>22</v>
      </c>
      <c r="K149" s="57">
        <f t="shared" si="143"/>
        <v>0</v>
      </c>
      <c r="L149" s="75">
        <f t="shared" si="144"/>
        <v>0</v>
      </c>
      <c r="M149" s="76">
        <f t="shared" si="145"/>
        <v>0</v>
      </c>
      <c r="N149" s="76">
        <f t="shared" si="146"/>
        <v>0</v>
      </c>
      <c r="O149" s="77">
        <f t="shared" si="147"/>
        <v>0</v>
      </c>
      <c r="P149" s="77">
        <f t="shared" si="148"/>
        <v>0</v>
      </c>
      <c r="Q149" s="76">
        <f t="shared" si="149"/>
        <v>0</v>
      </c>
      <c r="R149" s="76">
        <f t="shared" si="150"/>
        <v>0</v>
      </c>
      <c r="S149" s="57">
        <f t="shared" si="151"/>
        <v>0</v>
      </c>
    </row>
    <row r="150" spans="1:19" x14ac:dyDescent="0.4">
      <c r="A150" s="57"/>
      <c r="B150" s="57" t="str">
        <f t="shared" si="152"/>
        <v>MIX BANGLES 97.110 @ 90%</v>
      </c>
      <c r="C150" s="57"/>
      <c r="D150" s="79"/>
      <c r="E150" s="57"/>
      <c r="F150" s="71">
        <f t="shared" si="153"/>
        <v>245</v>
      </c>
      <c r="G150" s="72">
        <f t="shared" si="154"/>
        <v>0</v>
      </c>
      <c r="H150" s="57">
        <f t="shared" si="141"/>
        <v>0</v>
      </c>
      <c r="I150" s="73">
        <f t="shared" si="142"/>
        <v>0</v>
      </c>
      <c r="J150" s="74">
        <v>22</v>
      </c>
      <c r="K150" s="57">
        <f t="shared" si="143"/>
        <v>0</v>
      </c>
      <c r="L150" s="75">
        <f t="shared" si="144"/>
        <v>0</v>
      </c>
      <c r="M150" s="76">
        <f t="shared" si="145"/>
        <v>0</v>
      </c>
      <c r="N150" s="76">
        <f t="shared" si="146"/>
        <v>0</v>
      </c>
      <c r="O150" s="77">
        <f t="shared" si="147"/>
        <v>0</v>
      </c>
      <c r="P150" s="77">
        <f t="shared" si="148"/>
        <v>0</v>
      </c>
      <c r="Q150" s="76">
        <f t="shared" si="149"/>
        <v>0</v>
      </c>
      <c r="R150" s="76">
        <f t="shared" si="150"/>
        <v>0</v>
      </c>
      <c r="S150" s="57">
        <f t="shared" si="151"/>
        <v>0</v>
      </c>
    </row>
    <row r="151" spans="1:19" x14ac:dyDescent="0.4">
      <c r="A151" s="57"/>
      <c r="B151" s="57" t="str">
        <f t="shared" si="152"/>
        <v>MIX BANGLES 97.110 @ 90%</v>
      </c>
      <c r="C151" s="57"/>
      <c r="D151" s="79"/>
      <c r="E151" s="57"/>
      <c r="F151" s="71">
        <f t="shared" si="153"/>
        <v>275</v>
      </c>
      <c r="G151" s="72">
        <f t="shared" si="154"/>
        <v>0</v>
      </c>
      <c r="H151" s="57">
        <f t="shared" si="141"/>
        <v>0</v>
      </c>
      <c r="I151" s="73">
        <f t="shared" si="142"/>
        <v>0</v>
      </c>
      <c r="J151" s="74">
        <v>22</v>
      </c>
      <c r="K151" s="57">
        <f t="shared" si="143"/>
        <v>0</v>
      </c>
      <c r="L151" s="75">
        <f t="shared" si="144"/>
        <v>0</v>
      </c>
      <c r="M151" s="76">
        <f t="shared" si="145"/>
        <v>0</v>
      </c>
      <c r="N151" s="76">
        <f t="shared" si="146"/>
        <v>0</v>
      </c>
      <c r="O151" s="77">
        <f t="shared" si="147"/>
        <v>0</v>
      </c>
      <c r="P151" s="77">
        <f t="shared" si="148"/>
        <v>0</v>
      </c>
      <c r="Q151" s="76">
        <f t="shared" si="149"/>
        <v>0</v>
      </c>
      <c r="R151" s="76">
        <f t="shared" si="150"/>
        <v>0</v>
      </c>
      <c r="S151" s="57">
        <f t="shared" si="151"/>
        <v>0</v>
      </c>
    </row>
    <row r="152" spans="1:19" x14ac:dyDescent="0.4">
      <c r="A152" s="57"/>
      <c r="B152" s="57" t="str">
        <f t="shared" si="152"/>
        <v>MIX BANGLES 97.110 @ 90%</v>
      </c>
      <c r="C152" s="57"/>
      <c r="D152" s="57"/>
      <c r="E152" s="57"/>
      <c r="F152" s="71">
        <f t="shared" si="153"/>
        <v>306</v>
      </c>
      <c r="G152" s="72">
        <f t="shared" si="154"/>
        <v>0</v>
      </c>
      <c r="H152" s="57">
        <f t="shared" si="141"/>
        <v>0</v>
      </c>
      <c r="I152" s="73">
        <f t="shared" si="142"/>
        <v>0</v>
      </c>
      <c r="J152" s="74">
        <v>22</v>
      </c>
      <c r="K152" s="57">
        <f t="shared" si="143"/>
        <v>0</v>
      </c>
      <c r="L152" s="75">
        <f t="shared" si="144"/>
        <v>0</v>
      </c>
      <c r="M152" s="76">
        <f t="shared" si="145"/>
        <v>0</v>
      </c>
      <c r="N152" s="76">
        <f t="shared" si="146"/>
        <v>0</v>
      </c>
      <c r="O152" s="77">
        <f t="shared" si="147"/>
        <v>0</v>
      </c>
      <c r="P152" s="77">
        <f t="shared" si="148"/>
        <v>0</v>
      </c>
      <c r="Q152" s="76">
        <f t="shared" si="149"/>
        <v>0</v>
      </c>
      <c r="R152" s="76">
        <f t="shared" si="150"/>
        <v>0</v>
      </c>
      <c r="S152" s="57">
        <f t="shared" si="151"/>
        <v>0</v>
      </c>
    </row>
    <row r="153" spans="1:19" x14ac:dyDescent="0.4">
      <c r="A153" s="57"/>
      <c r="B153" s="57" t="str">
        <f t="shared" si="152"/>
        <v>MIX BANGLES 97.110 @ 90%</v>
      </c>
      <c r="C153" s="57"/>
      <c r="D153" s="57"/>
      <c r="E153" s="57"/>
      <c r="F153" s="71">
        <f t="shared" si="153"/>
        <v>336</v>
      </c>
      <c r="G153" s="72">
        <f t="shared" si="154"/>
        <v>0</v>
      </c>
      <c r="H153" s="57">
        <f t="shared" si="141"/>
        <v>0</v>
      </c>
      <c r="I153" s="73">
        <f t="shared" si="142"/>
        <v>0</v>
      </c>
      <c r="J153" s="74">
        <v>22</v>
      </c>
      <c r="K153" s="57">
        <f t="shared" si="143"/>
        <v>0</v>
      </c>
      <c r="L153" s="75">
        <f t="shared" si="144"/>
        <v>0</v>
      </c>
      <c r="M153" s="76">
        <f t="shared" si="145"/>
        <v>0</v>
      </c>
      <c r="N153" s="76">
        <f t="shared" si="146"/>
        <v>0</v>
      </c>
      <c r="O153" s="77">
        <f t="shared" si="147"/>
        <v>0</v>
      </c>
      <c r="P153" s="77">
        <f t="shared" si="148"/>
        <v>0</v>
      </c>
      <c r="Q153" s="76">
        <f t="shared" si="149"/>
        <v>0</v>
      </c>
      <c r="R153" s="76">
        <f t="shared" si="150"/>
        <v>0</v>
      </c>
      <c r="S153" s="57">
        <f t="shared" si="151"/>
        <v>0</v>
      </c>
    </row>
    <row r="154" spans="1:19" x14ac:dyDescent="0.4">
      <c r="A154" s="57"/>
      <c r="B154" s="57" t="str">
        <f t="shared" si="152"/>
        <v>MIX BANGLES 97.110 @ 90%</v>
      </c>
      <c r="C154" s="57"/>
      <c r="D154" s="57"/>
      <c r="E154" s="57"/>
      <c r="F154" s="71">
        <f t="shared" si="153"/>
        <v>367</v>
      </c>
      <c r="G154" s="72">
        <f t="shared" si="154"/>
        <v>0</v>
      </c>
      <c r="H154" s="57">
        <f t="shared" si="141"/>
        <v>0</v>
      </c>
      <c r="I154" s="73">
        <f t="shared" si="142"/>
        <v>0</v>
      </c>
      <c r="J154" s="74">
        <v>22</v>
      </c>
      <c r="K154" s="57">
        <f t="shared" si="143"/>
        <v>0</v>
      </c>
      <c r="L154" s="75">
        <f t="shared" si="144"/>
        <v>0</v>
      </c>
      <c r="M154" s="76">
        <f t="shared" si="145"/>
        <v>0</v>
      </c>
      <c r="N154" s="76">
        <f t="shared" si="146"/>
        <v>0</v>
      </c>
      <c r="O154" s="77">
        <f t="shared" si="147"/>
        <v>0</v>
      </c>
      <c r="P154" s="77">
        <f t="shared" si="148"/>
        <v>0</v>
      </c>
      <c r="Q154" s="76">
        <f t="shared" si="149"/>
        <v>0</v>
      </c>
      <c r="R154" s="76">
        <f t="shared" si="150"/>
        <v>0</v>
      </c>
      <c r="S154" s="57">
        <f t="shared" si="151"/>
        <v>0</v>
      </c>
    </row>
    <row r="155" spans="1:19" x14ac:dyDescent="0.4">
      <c r="B155" s="57"/>
    </row>
    <row r="156" spans="1:19" ht="123" customHeight="1" x14ac:dyDescent="0.4">
      <c r="A156" s="69" t="s">
        <v>11</v>
      </c>
      <c r="B156" s="69" t="s">
        <v>11</v>
      </c>
      <c r="C156" s="69" t="s">
        <v>155</v>
      </c>
      <c r="D156" s="69" t="s">
        <v>158</v>
      </c>
      <c r="E156" s="69" t="s">
        <v>185</v>
      </c>
      <c r="F156" s="69" t="s">
        <v>186</v>
      </c>
      <c r="G156" s="70" t="s">
        <v>156</v>
      </c>
      <c r="H156" s="69" t="s">
        <v>187</v>
      </c>
      <c r="I156" s="69" t="s">
        <v>188</v>
      </c>
      <c r="J156" s="69" t="s">
        <v>158</v>
      </c>
      <c r="K156" s="69" t="s">
        <v>159</v>
      </c>
      <c r="L156" s="69" t="s">
        <v>160</v>
      </c>
      <c r="M156" s="69" t="s">
        <v>161</v>
      </c>
      <c r="N156" s="69" t="s">
        <v>162</v>
      </c>
      <c r="O156" s="69" t="s">
        <v>163</v>
      </c>
      <c r="P156" s="69" t="s">
        <v>164</v>
      </c>
      <c r="Q156" s="69" t="s">
        <v>165</v>
      </c>
      <c r="R156" s="69" t="s">
        <v>166</v>
      </c>
      <c r="S156" s="69" t="s">
        <v>189</v>
      </c>
    </row>
    <row r="157" spans="1:19" x14ac:dyDescent="0.4">
      <c r="A157" s="57">
        <f>+A143+1</f>
        <v>12</v>
      </c>
      <c r="B157" s="57" t="str">
        <f>INDEX('sale resgister'!B:B,A157+1,1)</f>
        <v>BAN1925</v>
      </c>
      <c r="C157" s="71">
        <f>+VLOOKUP(B157,'sale resgister'!B:J,9,0)</f>
        <v>45901</v>
      </c>
      <c r="D157" s="79" t="str">
        <f>+VLOOKUP(B157,'sale resgister'!B:J,2,0)</f>
        <v>Batch 2</v>
      </c>
      <c r="E157" s="96">
        <f>IF(C157=0,0,VLOOKUP(B157,'sale resgister'!B:J,4,0))</f>
        <v>15.692</v>
      </c>
      <c r="F157" s="71">
        <f>DATE(YEAR(C157),MONTH(C157)+1,1)</f>
        <v>45931</v>
      </c>
      <c r="G157" s="72">
        <f>E157</f>
        <v>15.692</v>
      </c>
      <c r="H157" s="57">
        <f t="shared" ref="H157:H168" si="155">ROUND(+G157*$H$1,3)</f>
        <v>1.0980000000000001</v>
      </c>
      <c r="I157" s="73">
        <f t="shared" ref="I157:I168" si="156">IFERROR(+VLOOKUP(F157,$W$3:$X$15,2,0),0)</f>
        <v>12115</v>
      </c>
      <c r="J157" s="74">
        <v>22</v>
      </c>
      <c r="K157" s="57">
        <f t="shared" ref="K157:K168" si="157">ROUND(+H157*97%,3)</f>
        <v>1.0649999999999999</v>
      </c>
      <c r="L157" s="75">
        <f t="shared" ref="L157:L168" si="158">(K157-H157*92%)*I157</f>
        <v>664.38659999999732</v>
      </c>
      <c r="M157" s="76">
        <f t="shared" ref="M157:M168" si="159">ROUND(I157*92%*H157,2)</f>
        <v>12238.09</v>
      </c>
      <c r="N157" s="76">
        <f t="shared" ref="N157:N168" si="160">ROUND(+M157*0.11,2)</f>
        <v>1346.19</v>
      </c>
      <c r="O157" s="77">
        <f t="shared" ref="O157:O168" si="161">+N157-L157</f>
        <v>681.80340000000274</v>
      </c>
      <c r="P157" s="77">
        <f t="shared" ref="P157:P168" si="162">ROUND(+O157*15%,2)</f>
        <v>102.27</v>
      </c>
      <c r="Q157" s="76">
        <f t="shared" ref="Q157:Q168" si="163">ROUND(+(O157-P157)*60%,2)</f>
        <v>347.72</v>
      </c>
      <c r="R157" s="76">
        <f t="shared" ref="R157:R168" si="164">ROUND(+(O157-P157)*40%,2)</f>
        <v>231.81</v>
      </c>
      <c r="S157" s="57">
        <f t="shared" ref="S157:S168" si="165">IFERROR(ROUND(+Q157/(I157/92%),3),0)</f>
        <v>2.5999999999999999E-2</v>
      </c>
    </row>
    <row r="158" spans="1:19" x14ac:dyDescent="0.4">
      <c r="A158" s="57"/>
      <c r="B158" s="57" t="str">
        <f t="shared" ref="B158:B168" si="166">+B157</f>
        <v>BAN1925</v>
      </c>
      <c r="C158" s="57"/>
      <c r="D158" s="57"/>
      <c r="E158" s="57"/>
      <c r="F158" s="71">
        <f t="shared" ref="F158:F168" si="167">IF(+DATE(YEAR(F157),MONTH(F157)+1,1)&gt;$G$1+1,0,+DATE(YEAR(F157),MONTH(F157)+1,1))</f>
        <v>45962</v>
      </c>
      <c r="G158" s="72">
        <f t="shared" ref="G158:G168" si="168">ROUND(IF(F158=0,0,(G157+S157)),3)</f>
        <v>15.718</v>
      </c>
      <c r="H158" s="57">
        <f t="shared" si="155"/>
        <v>1.1000000000000001</v>
      </c>
      <c r="I158" s="73">
        <f t="shared" si="156"/>
        <v>12490</v>
      </c>
      <c r="J158" s="74">
        <v>22</v>
      </c>
      <c r="K158" s="57">
        <f t="shared" si="157"/>
        <v>1.0669999999999999</v>
      </c>
      <c r="L158" s="75">
        <f t="shared" si="158"/>
        <v>686.94999999999641</v>
      </c>
      <c r="M158" s="76">
        <f t="shared" si="159"/>
        <v>12639.88</v>
      </c>
      <c r="N158" s="76">
        <f t="shared" si="160"/>
        <v>1390.39</v>
      </c>
      <c r="O158" s="77">
        <f t="shared" si="161"/>
        <v>703.44000000000369</v>
      </c>
      <c r="P158" s="77">
        <f t="shared" si="162"/>
        <v>105.52</v>
      </c>
      <c r="Q158" s="76">
        <f t="shared" si="163"/>
        <v>358.75</v>
      </c>
      <c r="R158" s="76">
        <f t="shared" si="164"/>
        <v>239.17</v>
      </c>
      <c r="S158" s="57">
        <f t="shared" si="165"/>
        <v>2.5999999999999999E-2</v>
      </c>
    </row>
    <row r="159" spans="1:19" x14ac:dyDescent="0.4">
      <c r="A159" s="57"/>
      <c r="B159" s="57" t="str">
        <f t="shared" si="166"/>
        <v>BAN1925</v>
      </c>
      <c r="C159" s="57"/>
      <c r="D159" s="57"/>
      <c r="E159" s="71"/>
      <c r="F159" s="71">
        <f t="shared" si="167"/>
        <v>45992</v>
      </c>
      <c r="G159" s="72">
        <f t="shared" si="168"/>
        <v>15.744</v>
      </c>
      <c r="H159" s="57">
        <f t="shared" si="155"/>
        <v>1.1020000000000001</v>
      </c>
      <c r="I159" s="73">
        <f t="shared" si="156"/>
        <v>13220</v>
      </c>
      <c r="J159" s="74">
        <v>22</v>
      </c>
      <c r="K159" s="57">
        <f t="shared" si="157"/>
        <v>1.069</v>
      </c>
      <c r="L159" s="75">
        <f t="shared" si="158"/>
        <v>729.21519999999839</v>
      </c>
      <c r="M159" s="76">
        <f t="shared" si="159"/>
        <v>13402.96</v>
      </c>
      <c r="N159" s="76">
        <f t="shared" si="160"/>
        <v>1474.33</v>
      </c>
      <c r="O159" s="77">
        <f t="shared" si="161"/>
        <v>745.11480000000154</v>
      </c>
      <c r="P159" s="77">
        <f t="shared" si="162"/>
        <v>111.77</v>
      </c>
      <c r="Q159" s="76">
        <f t="shared" si="163"/>
        <v>380.01</v>
      </c>
      <c r="R159" s="76">
        <f t="shared" si="164"/>
        <v>253.34</v>
      </c>
      <c r="S159" s="57">
        <f t="shared" si="165"/>
        <v>2.5999999999999999E-2</v>
      </c>
    </row>
    <row r="160" spans="1:19" x14ac:dyDescent="0.4">
      <c r="A160" s="57"/>
      <c r="B160" s="57" t="str">
        <f t="shared" si="166"/>
        <v>BAN1925</v>
      </c>
      <c r="C160" s="57"/>
      <c r="D160" s="57"/>
      <c r="E160" s="57"/>
      <c r="F160" s="71">
        <f t="shared" si="167"/>
        <v>46023</v>
      </c>
      <c r="G160" s="72">
        <f t="shared" si="168"/>
        <v>15.77</v>
      </c>
      <c r="H160" s="57">
        <f t="shared" si="155"/>
        <v>1.1040000000000001</v>
      </c>
      <c r="I160" s="73">
        <f t="shared" si="156"/>
        <v>13790</v>
      </c>
      <c r="J160" s="74">
        <v>22</v>
      </c>
      <c r="K160" s="57">
        <f t="shared" si="157"/>
        <v>1.071</v>
      </c>
      <c r="L160" s="75">
        <f t="shared" si="158"/>
        <v>762.86279999999738</v>
      </c>
      <c r="M160" s="76">
        <f t="shared" si="159"/>
        <v>14006.23</v>
      </c>
      <c r="N160" s="76">
        <f t="shared" si="160"/>
        <v>1540.69</v>
      </c>
      <c r="O160" s="77">
        <f t="shared" si="161"/>
        <v>777.82720000000268</v>
      </c>
      <c r="P160" s="77">
        <f t="shared" si="162"/>
        <v>116.67</v>
      </c>
      <c r="Q160" s="76">
        <f t="shared" si="163"/>
        <v>396.69</v>
      </c>
      <c r="R160" s="76">
        <f t="shared" si="164"/>
        <v>264.45999999999998</v>
      </c>
      <c r="S160" s="57">
        <f t="shared" si="165"/>
        <v>2.5999999999999999E-2</v>
      </c>
    </row>
    <row r="161" spans="1:19" x14ac:dyDescent="0.4">
      <c r="A161" s="57"/>
      <c r="B161" s="57" t="str">
        <f t="shared" si="166"/>
        <v>BAN1925</v>
      </c>
      <c r="C161" s="71"/>
      <c r="D161" s="57"/>
      <c r="E161" s="57"/>
      <c r="F161" s="71">
        <f t="shared" si="167"/>
        <v>46054</v>
      </c>
      <c r="G161" s="72">
        <f t="shared" si="168"/>
        <v>15.795999999999999</v>
      </c>
      <c r="H161" s="57">
        <f t="shared" si="155"/>
        <v>1.1060000000000001</v>
      </c>
      <c r="I161" s="73">
        <f t="shared" si="156"/>
        <v>15760</v>
      </c>
      <c r="J161" s="74">
        <v>22</v>
      </c>
      <c r="K161" s="57">
        <f t="shared" si="157"/>
        <v>1.073</v>
      </c>
      <c r="L161" s="75">
        <f t="shared" si="158"/>
        <v>874.36479999999608</v>
      </c>
      <c r="M161" s="76">
        <f t="shared" si="159"/>
        <v>16036.12</v>
      </c>
      <c r="N161" s="76">
        <f t="shared" si="160"/>
        <v>1763.97</v>
      </c>
      <c r="O161" s="77">
        <f t="shared" si="161"/>
        <v>889.60520000000395</v>
      </c>
      <c r="P161" s="77">
        <f t="shared" si="162"/>
        <v>133.44</v>
      </c>
      <c r="Q161" s="76">
        <f t="shared" si="163"/>
        <v>453.7</v>
      </c>
      <c r="R161" s="76">
        <f t="shared" si="164"/>
        <v>302.47000000000003</v>
      </c>
      <c r="S161" s="57">
        <f t="shared" si="165"/>
        <v>2.5999999999999999E-2</v>
      </c>
    </row>
    <row r="162" spans="1:19" x14ac:dyDescent="0.4">
      <c r="A162" s="57"/>
      <c r="B162" s="57" t="str">
        <f t="shared" si="166"/>
        <v>BAN1925</v>
      </c>
      <c r="C162" s="57"/>
      <c r="D162" s="57"/>
      <c r="E162" s="57"/>
      <c r="F162" s="71">
        <f t="shared" si="167"/>
        <v>46082</v>
      </c>
      <c r="G162" s="72">
        <f t="shared" si="168"/>
        <v>15.821999999999999</v>
      </c>
      <c r="H162" s="57">
        <f t="shared" si="155"/>
        <v>1.1080000000000001</v>
      </c>
      <c r="I162" s="73">
        <f t="shared" si="156"/>
        <v>17200</v>
      </c>
      <c r="J162" s="74">
        <v>22</v>
      </c>
      <c r="K162" s="57">
        <f t="shared" si="157"/>
        <v>1.075</v>
      </c>
      <c r="L162" s="75">
        <f t="shared" si="158"/>
        <v>957.00799999999845</v>
      </c>
      <c r="M162" s="76">
        <f t="shared" si="159"/>
        <v>17532.990000000002</v>
      </c>
      <c r="N162" s="76">
        <f t="shared" si="160"/>
        <v>1928.63</v>
      </c>
      <c r="O162" s="77">
        <f t="shared" si="161"/>
        <v>971.62200000000166</v>
      </c>
      <c r="P162" s="77">
        <f t="shared" si="162"/>
        <v>145.74</v>
      </c>
      <c r="Q162" s="76">
        <f t="shared" si="163"/>
        <v>495.53</v>
      </c>
      <c r="R162" s="76">
        <f t="shared" si="164"/>
        <v>330.35</v>
      </c>
      <c r="S162" s="57">
        <f t="shared" si="165"/>
        <v>2.7E-2</v>
      </c>
    </row>
    <row r="163" spans="1:19" x14ac:dyDescent="0.4">
      <c r="A163" s="57"/>
      <c r="B163" s="57" t="str">
        <f t="shared" si="166"/>
        <v>BAN1925</v>
      </c>
      <c r="C163" s="57"/>
      <c r="D163" s="57"/>
      <c r="E163" s="57"/>
      <c r="F163" s="71">
        <f t="shared" si="167"/>
        <v>46113</v>
      </c>
      <c r="G163" s="72">
        <f t="shared" si="168"/>
        <v>15.849</v>
      </c>
      <c r="H163" s="57">
        <f t="shared" si="155"/>
        <v>1.109</v>
      </c>
      <c r="I163" s="73">
        <f t="shared" si="156"/>
        <v>15450</v>
      </c>
      <c r="J163" s="74">
        <v>22</v>
      </c>
      <c r="K163" s="57">
        <f t="shared" si="157"/>
        <v>1.0760000000000001</v>
      </c>
      <c r="L163" s="75">
        <f t="shared" si="158"/>
        <v>860.87399999999991</v>
      </c>
      <c r="M163" s="76">
        <f t="shared" si="159"/>
        <v>15763.33</v>
      </c>
      <c r="N163" s="76">
        <f t="shared" si="160"/>
        <v>1733.97</v>
      </c>
      <c r="O163" s="77">
        <f t="shared" si="161"/>
        <v>873.09600000000012</v>
      </c>
      <c r="P163" s="77">
        <f t="shared" si="162"/>
        <v>130.96</v>
      </c>
      <c r="Q163" s="76">
        <f t="shared" si="163"/>
        <v>445.28</v>
      </c>
      <c r="R163" s="76">
        <f t="shared" si="164"/>
        <v>296.85000000000002</v>
      </c>
      <c r="S163" s="57">
        <f t="shared" si="165"/>
        <v>2.7E-2</v>
      </c>
    </row>
    <row r="164" spans="1:19" x14ac:dyDescent="0.4">
      <c r="A164" s="57"/>
      <c r="B164" s="57" t="str">
        <f t="shared" si="166"/>
        <v>BAN1925</v>
      </c>
      <c r="C164" s="57"/>
      <c r="D164" s="79"/>
      <c r="E164" s="57"/>
      <c r="F164" s="71">
        <f t="shared" si="167"/>
        <v>0</v>
      </c>
      <c r="G164" s="72">
        <f t="shared" si="168"/>
        <v>0</v>
      </c>
      <c r="H164" s="57">
        <f t="shared" si="155"/>
        <v>0</v>
      </c>
      <c r="I164" s="73">
        <f t="shared" si="156"/>
        <v>0</v>
      </c>
      <c r="J164" s="74">
        <v>22</v>
      </c>
      <c r="K164" s="57">
        <f t="shared" si="157"/>
        <v>0</v>
      </c>
      <c r="L164" s="75">
        <f t="shared" si="158"/>
        <v>0</v>
      </c>
      <c r="M164" s="76">
        <f t="shared" si="159"/>
        <v>0</v>
      </c>
      <c r="N164" s="76">
        <f t="shared" si="160"/>
        <v>0</v>
      </c>
      <c r="O164" s="77">
        <f t="shared" si="161"/>
        <v>0</v>
      </c>
      <c r="P164" s="77">
        <f t="shared" si="162"/>
        <v>0</v>
      </c>
      <c r="Q164" s="76">
        <f t="shared" si="163"/>
        <v>0</v>
      </c>
      <c r="R164" s="76">
        <f t="shared" si="164"/>
        <v>0</v>
      </c>
      <c r="S164" s="57">
        <f t="shared" si="165"/>
        <v>0</v>
      </c>
    </row>
    <row r="165" spans="1:19" x14ac:dyDescent="0.4">
      <c r="A165" s="57"/>
      <c r="B165" s="57" t="str">
        <f t="shared" si="166"/>
        <v>BAN1925</v>
      </c>
      <c r="C165" s="57"/>
      <c r="D165" s="79"/>
      <c r="E165" s="57"/>
      <c r="F165" s="71">
        <f t="shared" si="167"/>
        <v>32</v>
      </c>
      <c r="G165" s="72">
        <f t="shared" si="168"/>
        <v>0</v>
      </c>
      <c r="H165" s="57">
        <f t="shared" si="155"/>
        <v>0</v>
      </c>
      <c r="I165" s="73">
        <f t="shared" si="156"/>
        <v>0</v>
      </c>
      <c r="J165" s="74">
        <v>22</v>
      </c>
      <c r="K165" s="57">
        <f t="shared" si="157"/>
        <v>0</v>
      </c>
      <c r="L165" s="75">
        <f t="shared" si="158"/>
        <v>0</v>
      </c>
      <c r="M165" s="76">
        <f t="shared" si="159"/>
        <v>0</v>
      </c>
      <c r="N165" s="76">
        <f t="shared" si="160"/>
        <v>0</v>
      </c>
      <c r="O165" s="77">
        <f t="shared" si="161"/>
        <v>0</v>
      </c>
      <c r="P165" s="77">
        <f t="shared" si="162"/>
        <v>0</v>
      </c>
      <c r="Q165" s="76">
        <f t="shared" si="163"/>
        <v>0</v>
      </c>
      <c r="R165" s="76">
        <f t="shared" si="164"/>
        <v>0</v>
      </c>
      <c r="S165" s="57">
        <f t="shared" si="165"/>
        <v>0</v>
      </c>
    </row>
    <row r="166" spans="1:19" x14ac:dyDescent="0.4">
      <c r="A166" s="57"/>
      <c r="B166" s="57" t="str">
        <f t="shared" si="166"/>
        <v>BAN1925</v>
      </c>
      <c r="C166" s="57"/>
      <c r="D166" s="57"/>
      <c r="E166" s="57"/>
      <c r="F166" s="71">
        <f t="shared" si="167"/>
        <v>61</v>
      </c>
      <c r="G166" s="72">
        <f t="shared" si="168"/>
        <v>0</v>
      </c>
      <c r="H166" s="57">
        <f t="shared" si="155"/>
        <v>0</v>
      </c>
      <c r="I166" s="73">
        <f t="shared" si="156"/>
        <v>0</v>
      </c>
      <c r="J166" s="74">
        <v>22</v>
      </c>
      <c r="K166" s="57">
        <f t="shared" si="157"/>
        <v>0</v>
      </c>
      <c r="L166" s="75">
        <f t="shared" si="158"/>
        <v>0</v>
      </c>
      <c r="M166" s="76">
        <f t="shared" si="159"/>
        <v>0</v>
      </c>
      <c r="N166" s="76">
        <f t="shared" si="160"/>
        <v>0</v>
      </c>
      <c r="O166" s="77">
        <f t="shared" si="161"/>
        <v>0</v>
      </c>
      <c r="P166" s="77">
        <f t="shared" si="162"/>
        <v>0</v>
      </c>
      <c r="Q166" s="76">
        <f t="shared" si="163"/>
        <v>0</v>
      </c>
      <c r="R166" s="76">
        <f t="shared" si="164"/>
        <v>0</v>
      </c>
      <c r="S166" s="57">
        <f t="shared" si="165"/>
        <v>0</v>
      </c>
    </row>
    <row r="167" spans="1:19" x14ac:dyDescent="0.4">
      <c r="A167" s="57"/>
      <c r="B167" s="57" t="str">
        <f t="shared" si="166"/>
        <v>BAN1925</v>
      </c>
      <c r="C167" s="57"/>
      <c r="D167" s="57"/>
      <c r="E167" s="57"/>
      <c r="F167" s="71">
        <f t="shared" si="167"/>
        <v>92</v>
      </c>
      <c r="G167" s="72">
        <f t="shared" si="168"/>
        <v>0</v>
      </c>
      <c r="H167" s="57">
        <f t="shared" si="155"/>
        <v>0</v>
      </c>
      <c r="I167" s="73">
        <f t="shared" si="156"/>
        <v>0</v>
      </c>
      <c r="J167" s="74">
        <v>22</v>
      </c>
      <c r="K167" s="57">
        <f t="shared" si="157"/>
        <v>0</v>
      </c>
      <c r="L167" s="75">
        <f t="shared" si="158"/>
        <v>0</v>
      </c>
      <c r="M167" s="76">
        <f t="shared" si="159"/>
        <v>0</v>
      </c>
      <c r="N167" s="76">
        <f t="shared" si="160"/>
        <v>0</v>
      </c>
      <c r="O167" s="77">
        <f t="shared" si="161"/>
        <v>0</v>
      </c>
      <c r="P167" s="77">
        <f t="shared" si="162"/>
        <v>0</v>
      </c>
      <c r="Q167" s="76">
        <f t="shared" si="163"/>
        <v>0</v>
      </c>
      <c r="R167" s="76">
        <f t="shared" si="164"/>
        <v>0</v>
      </c>
      <c r="S167" s="57">
        <f t="shared" si="165"/>
        <v>0</v>
      </c>
    </row>
    <row r="168" spans="1:19" x14ac:dyDescent="0.4">
      <c r="A168" s="57"/>
      <c r="B168" s="57" t="str">
        <f t="shared" si="166"/>
        <v>BAN1925</v>
      </c>
      <c r="C168" s="57"/>
      <c r="D168" s="57"/>
      <c r="E168" s="57"/>
      <c r="F168" s="71">
        <f t="shared" si="167"/>
        <v>122</v>
      </c>
      <c r="G168" s="72">
        <f t="shared" si="168"/>
        <v>0</v>
      </c>
      <c r="H168" s="57">
        <f t="shared" si="155"/>
        <v>0</v>
      </c>
      <c r="I168" s="73">
        <f t="shared" si="156"/>
        <v>0</v>
      </c>
      <c r="J168" s="74">
        <v>22</v>
      </c>
      <c r="K168" s="57">
        <f t="shared" si="157"/>
        <v>0</v>
      </c>
      <c r="L168" s="75">
        <f t="shared" si="158"/>
        <v>0</v>
      </c>
      <c r="M168" s="76">
        <f t="shared" si="159"/>
        <v>0</v>
      </c>
      <c r="N168" s="76">
        <f t="shared" si="160"/>
        <v>0</v>
      </c>
      <c r="O168" s="77">
        <f t="shared" si="161"/>
        <v>0</v>
      </c>
      <c r="P168" s="77">
        <f t="shared" si="162"/>
        <v>0</v>
      </c>
      <c r="Q168" s="76">
        <f t="shared" si="163"/>
        <v>0</v>
      </c>
      <c r="R168" s="76">
        <f t="shared" si="164"/>
        <v>0</v>
      </c>
      <c r="S168" s="57">
        <f t="shared" si="165"/>
        <v>0</v>
      </c>
    </row>
    <row r="169" spans="1:19" x14ac:dyDescent="0.4">
      <c r="B169" s="57"/>
    </row>
    <row r="170" spans="1:19" ht="123" customHeight="1" x14ac:dyDescent="0.4">
      <c r="A170" s="69" t="s">
        <v>11</v>
      </c>
      <c r="B170" s="69" t="s">
        <v>11</v>
      </c>
      <c r="C170" s="69" t="s">
        <v>155</v>
      </c>
      <c r="D170" s="69" t="s">
        <v>158</v>
      </c>
      <c r="E170" s="69" t="s">
        <v>185</v>
      </c>
      <c r="F170" s="69" t="s">
        <v>186</v>
      </c>
      <c r="G170" s="70" t="s">
        <v>156</v>
      </c>
      <c r="H170" s="69" t="s">
        <v>187</v>
      </c>
      <c r="I170" s="69" t="s">
        <v>188</v>
      </c>
      <c r="J170" s="69" t="s">
        <v>158</v>
      </c>
      <c r="K170" s="69" t="s">
        <v>159</v>
      </c>
      <c r="L170" s="69" t="s">
        <v>160</v>
      </c>
      <c r="M170" s="69" t="s">
        <v>161</v>
      </c>
      <c r="N170" s="69" t="s">
        <v>162</v>
      </c>
      <c r="O170" s="69" t="s">
        <v>163</v>
      </c>
      <c r="P170" s="69" t="s">
        <v>164</v>
      </c>
      <c r="Q170" s="69" t="s">
        <v>165</v>
      </c>
      <c r="R170" s="69" t="s">
        <v>166</v>
      </c>
      <c r="S170" s="69" t="s">
        <v>189</v>
      </c>
    </row>
    <row r="171" spans="1:19" x14ac:dyDescent="0.4">
      <c r="A171" s="57">
        <f>+A157+1</f>
        <v>13</v>
      </c>
      <c r="B171" s="57" t="str">
        <f>INDEX('sale resgister'!B:B,A171+1,1)</f>
        <v>BAN1938</v>
      </c>
      <c r="C171" s="71">
        <f>+VLOOKUP(B171,'sale resgister'!B:J,9,0)</f>
        <v>45901</v>
      </c>
      <c r="D171" s="79" t="str">
        <f>+VLOOKUP(B171,'sale resgister'!B:J,2,0)</f>
        <v>Batch 2</v>
      </c>
      <c r="E171" s="96">
        <f>IF(C171=0,0,VLOOKUP(B171,'sale resgister'!B:J,4,0))</f>
        <v>15.692</v>
      </c>
      <c r="F171" s="71">
        <f>DATE(YEAR(C171),MONTH(C171)+1,1)</f>
        <v>45931</v>
      </c>
      <c r="G171" s="72">
        <f>E171</f>
        <v>15.692</v>
      </c>
      <c r="H171" s="57">
        <f t="shared" ref="H171:H182" si="169">ROUND(+G171*$H$1,3)</f>
        <v>1.0980000000000001</v>
      </c>
      <c r="I171" s="73">
        <f t="shared" ref="I171:I182" si="170">IFERROR(+VLOOKUP(F171,$W$3:$X$15,2,0),0)</f>
        <v>12115</v>
      </c>
      <c r="J171" s="74">
        <v>22</v>
      </c>
      <c r="K171" s="57">
        <f t="shared" ref="K171:K182" si="171">ROUND(+H171*97%,3)</f>
        <v>1.0649999999999999</v>
      </c>
      <c r="L171" s="75">
        <f t="shared" ref="L171:L182" si="172">(K171-H171*92%)*I171</f>
        <v>664.38659999999732</v>
      </c>
      <c r="M171" s="76">
        <f t="shared" ref="M171:M182" si="173">ROUND(I171*92%*H171,2)</f>
        <v>12238.09</v>
      </c>
      <c r="N171" s="76">
        <f t="shared" ref="N171:N182" si="174">ROUND(+M171*0.11,2)</f>
        <v>1346.19</v>
      </c>
      <c r="O171" s="77">
        <f t="shared" ref="O171:O182" si="175">+N171-L171</f>
        <v>681.80340000000274</v>
      </c>
      <c r="P171" s="77">
        <f t="shared" ref="P171:P182" si="176">ROUND(+O171*15%,2)</f>
        <v>102.27</v>
      </c>
      <c r="Q171" s="76">
        <f t="shared" ref="Q171:Q182" si="177">ROUND(+(O171-P171)*60%,2)</f>
        <v>347.72</v>
      </c>
      <c r="R171" s="76">
        <f t="shared" ref="R171:R182" si="178">ROUND(+(O171-P171)*40%,2)</f>
        <v>231.81</v>
      </c>
      <c r="S171" s="57">
        <f t="shared" ref="S171:S182" si="179">IFERROR(ROUND(+Q171/(I171/92%),3),0)</f>
        <v>2.5999999999999999E-2</v>
      </c>
    </row>
    <row r="172" spans="1:19" x14ac:dyDescent="0.4">
      <c r="A172" s="57"/>
      <c r="B172" s="57" t="str">
        <f t="shared" ref="B172:B182" si="180">+B171</f>
        <v>BAN1938</v>
      </c>
      <c r="C172" s="57"/>
      <c r="D172" s="57"/>
      <c r="E172" s="57"/>
      <c r="F172" s="71">
        <f t="shared" ref="F172:F182" si="181">IF(+DATE(YEAR(F171),MONTH(F171)+1,1)&gt;$G$1+1,0,+DATE(YEAR(F171),MONTH(F171)+1,1))</f>
        <v>45962</v>
      </c>
      <c r="G172" s="72">
        <f t="shared" ref="G172:G182" si="182">ROUND(IF(F172=0,0,(G171+S171)),3)</f>
        <v>15.718</v>
      </c>
      <c r="H172" s="57">
        <f t="shared" si="169"/>
        <v>1.1000000000000001</v>
      </c>
      <c r="I172" s="73">
        <f t="shared" si="170"/>
        <v>12490</v>
      </c>
      <c r="J172" s="74">
        <v>22</v>
      </c>
      <c r="K172" s="57">
        <f t="shared" si="171"/>
        <v>1.0669999999999999</v>
      </c>
      <c r="L172" s="75">
        <f t="shared" si="172"/>
        <v>686.94999999999641</v>
      </c>
      <c r="M172" s="76">
        <f t="shared" si="173"/>
        <v>12639.88</v>
      </c>
      <c r="N172" s="76">
        <f t="shared" si="174"/>
        <v>1390.39</v>
      </c>
      <c r="O172" s="77">
        <f t="shared" si="175"/>
        <v>703.44000000000369</v>
      </c>
      <c r="P172" s="77">
        <f t="shared" si="176"/>
        <v>105.52</v>
      </c>
      <c r="Q172" s="76">
        <f t="shared" si="177"/>
        <v>358.75</v>
      </c>
      <c r="R172" s="76">
        <f t="shared" si="178"/>
        <v>239.17</v>
      </c>
      <c r="S172" s="57">
        <f t="shared" si="179"/>
        <v>2.5999999999999999E-2</v>
      </c>
    </row>
    <row r="173" spans="1:19" x14ac:dyDescent="0.4">
      <c r="A173" s="57"/>
      <c r="B173" s="57" t="str">
        <f t="shared" si="180"/>
        <v>BAN1938</v>
      </c>
      <c r="C173" s="57"/>
      <c r="D173" s="57"/>
      <c r="E173" s="71"/>
      <c r="F173" s="71">
        <f t="shared" si="181"/>
        <v>45992</v>
      </c>
      <c r="G173" s="72">
        <f t="shared" si="182"/>
        <v>15.744</v>
      </c>
      <c r="H173" s="57">
        <f t="shared" si="169"/>
        <v>1.1020000000000001</v>
      </c>
      <c r="I173" s="73">
        <f t="shared" si="170"/>
        <v>13220</v>
      </c>
      <c r="J173" s="74">
        <v>22</v>
      </c>
      <c r="K173" s="57">
        <f t="shared" si="171"/>
        <v>1.069</v>
      </c>
      <c r="L173" s="75">
        <f t="shared" si="172"/>
        <v>729.21519999999839</v>
      </c>
      <c r="M173" s="76">
        <f t="shared" si="173"/>
        <v>13402.96</v>
      </c>
      <c r="N173" s="76">
        <f t="shared" si="174"/>
        <v>1474.33</v>
      </c>
      <c r="O173" s="77">
        <f t="shared" si="175"/>
        <v>745.11480000000154</v>
      </c>
      <c r="P173" s="77">
        <f t="shared" si="176"/>
        <v>111.77</v>
      </c>
      <c r="Q173" s="76">
        <f t="shared" si="177"/>
        <v>380.01</v>
      </c>
      <c r="R173" s="76">
        <f t="shared" si="178"/>
        <v>253.34</v>
      </c>
      <c r="S173" s="57">
        <f t="shared" si="179"/>
        <v>2.5999999999999999E-2</v>
      </c>
    </row>
    <row r="174" spans="1:19" x14ac:dyDescent="0.4">
      <c r="A174" s="57"/>
      <c r="B174" s="57" t="str">
        <f t="shared" si="180"/>
        <v>BAN1938</v>
      </c>
      <c r="C174" s="57"/>
      <c r="D174" s="57"/>
      <c r="E174" s="57"/>
      <c r="F174" s="71">
        <f t="shared" si="181"/>
        <v>46023</v>
      </c>
      <c r="G174" s="72">
        <f t="shared" si="182"/>
        <v>15.77</v>
      </c>
      <c r="H174" s="57">
        <f t="shared" si="169"/>
        <v>1.1040000000000001</v>
      </c>
      <c r="I174" s="73">
        <f t="shared" si="170"/>
        <v>13790</v>
      </c>
      <c r="J174" s="74">
        <v>22</v>
      </c>
      <c r="K174" s="57">
        <f t="shared" si="171"/>
        <v>1.071</v>
      </c>
      <c r="L174" s="75">
        <f t="shared" si="172"/>
        <v>762.86279999999738</v>
      </c>
      <c r="M174" s="76">
        <f t="shared" si="173"/>
        <v>14006.23</v>
      </c>
      <c r="N174" s="76">
        <f t="shared" si="174"/>
        <v>1540.69</v>
      </c>
      <c r="O174" s="77">
        <f t="shared" si="175"/>
        <v>777.82720000000268</v>
      </c>
      <c r="P174" s="77">
        <f t="shared" si="176"/>
        <v>116.67</v>
      </c>
      <c r="Q174" s="76">
        <f t="shared" si="177"/>
        <v>396.69</v>
      </c>
      <c r="R174" s="76">
        <f t="shared" si="178"/>
        <v>264.45999999999998</v>
      </c>
      <c r="S174" s="57">
        <f t="shared" si="179"/>
        <v>2.5999999999999999E-2</v>
      </c>
    </row>
    <row r="175" spans="1:19" x14ac:dyDescent="0.4">
      <c r="A175" s="57"/>
      <c r="B175" s="57" t="str">
        <f t="shared" si="180"/>
        <v>BAN1938</v>
      </c>
      <c r="C175" s="71"/>
      <c r="D175" s="57"/>
      <c r="E175" s="57"/>
      <c r="F175" s="71">
        <f t="shared" si="181"/>
        <v>46054</v>
      </c>
      <c r="G175" s="72">
        <f t="shared" si="182"/>
        <v>15.795999999999999</v>
      </c>
      <c r="H175" s="57">
        <f t="shared" si="169"/>
        <v>1.1060000000000001</v>
      </c>
      <c r="I175" s="73">
        <f t="shared" si="170"/>
        <v>15760</v>
      </c>
      <c r="J175" s="74">
        <v>22</v>
      </c>
      <c r="K175" s="57">
        <f t="shared" si="171"/>
        <v>1.073</v>
      </c>
      <c r="L175" s="75">
        <f t="shared" si="172"/>
        <v>874.36479999999608</v>
      </c>
      <c r="M175" s="76">
        <f t="shared" si="173"/>
        <v>16036.12</v>
      </c>
      <c r="N175" s="76">
        <f t="shared" si="174"/>
        <v>1763.97</v>
      </c>
      <c r="O175" s="77">
        <f t="shared" si="175"/>
        <v>889.60520000000395</v>
      </c>
      <c r="P175" s="77">
        <f t="shared" si="176"/>
        <v>133.44</v>
      </c>
      <c r="Q175" s="76">
        <f t="shared" si="177"/>
        <v>453.7</v>
      </c>
      <c r="R175" s="76">
        <f t="shared" si="178"/>
        <v>302.47000000000003</v>
      </c>
      <c r="S175" s="57">
        <f t="shared" si="179"/>
        <v>2.5999999999999999E-2</v>
      </c>
    </row>
    <row r="176" spans="1:19" x14ac:dyDescent="0.4">
      <c r="A176" s="57"/>
      <c r="B176" s="57" t="str">
        <f t="shared" si="180"/>
        <v>BAN1938</v>
      </c>
      <c r="C176" s="57"/>
      <c r="D176" s="57"/>
      <c r="E176" s="57"/>
      <c r="F176" s="71">
        <f t="shared" si="181"/>
        <v>46082</v>
      </c>
      <c r="G176" s="72">
        <f t="shared" si="182"/>
        <v>15.821999999999999</v>
      </c>
      <c r="H176" s="57">
        <f t="shared" si="169"/>
        <v>1.1080000000000001</v>
      </c>
      <c r="I176" s="73">
        <f t="shared" si="170"/>
        <v>17200</v>
      </c>
      <c r="J176" s="74">
        <v>22</v>
      </c>
      <c r="K176" s="57">
        <f t="shared" si="171"/>
        <v>1.075</v>
      </c>
      <c r="L176" s="75">
        <f t="shared" si="172"/>
        <v>957.00799999999845</v>
      </c>
      <c r="M176" s="76">
        <f t="shared" si="173"/>
        <v>17532.990000000002</v>
      </c>
      <c r="N176" s="76">
        <f t="shared" si="174"/>
        <v>1928.63</v>
      </c>
      <c r="O176" s="77">
        <f t="shared" si="175"/>
        <v>971.62200000000166</v>
      </c>
      <c r="P176" s="77">
        <f t="shared" si="176"/>
        <v>145.74</v>
      </c>
      <c r="Q176" s="76">
        <f t="shared" si="177"/>
        <v>495.53</v>
      </c>
      <c r="R176" s="76">
        <f t="shared" si="178"/>
        <v>330.35</v>
      </c>
      <c r="S176" s="57">
        <f t="shared" si="179"/>
        <v>2.7E-2</v>
      </c>
    </row>
    <row r="177" spans="1:19" x14ac:dyDescent="0.4">
      <c r="A177" s="57"/>
      <c r="B177" s="57" t="str">
        <f t="shared" si="180"/>
        <v>BAN1938</v>
      </c>
      <c r="C177" s="57"/>
      <c r="D177" s="57"/>
      <c r="E177" s="57"/>
      <c r="F177" s="71">
        <f t="shared" si="181"/>
        <v>46113</v>
      </c>
      <c r="G177" s="72">
        <f t="shared" si="182"/>
        <v>15.849</v>
      </c>
      <c r="H177" s="57">
        <f t="shared" si="169"/>
        <v>1.109</v>
      </c>
      <c r="I177" s="73">
        <f t="shared" si="170"/>
        <v>15450</v>
      </c>
      <c r="J177" s="74">
        <v>22</v>
      </c>
      <c r="K177" s="57">
        <f t="shared" si="171"/>
        <v>1.0760000000000001</v>
      </c>
      <c r="L177" s="75">
        <f t="shared" si="172"/>
        <v>860.87399999999991</v>
      </c>
      <c r="M177" s="76">
        <f t="shared" si="173"/>
        <v>15763.33</v>
      </c>
      <c r="N177" s="76">
        <f t="shared" si="174"/>
        <v>1733.97</v>
      </c>
      <c r="O177" s="77">
        <f t="shared" si="175"/>
        <v>873.09600000000012</v>
      </c>
      <c r="P177" s="77">
        <f t="shared" si="176"/>
        <v>130.96</v>
      </c>
      <c r="Q177" s="76">
        <f t="shared" si="177"/>
        <v>445.28</v>
      </c>
      <c r="R177" s="76">
        <f t="shared" si="178"/>
        <v>296.85000000000002</v>
      </c>
      <c r="S177" s="57">
        <f t="shared" si="179"/>
        <v>2.7E-2</v>
      </c>
    </row>
    <row r="178" spans="1:19" x14ac:dyDescent="0.4">
      <c r="A178" s="57"/>
      <c r="B178" s="57" t="str">
        <f t="shared" si="180"/>
        <v>BAN1938</v>
      </c>
      <c r="C178" s="57"/>
      <c r="D178" s="79"/>
      <c r="E178" s="57"/>
      <c r="F178" s="71">
        <f t="shared" si="181"/>
        <v>0</v>
      </c>
      <c r="G178" s="72">
        <f t="shared" si="182"/>
        <v>0</v>
      </c>
      <c r="H178" s="57">
        <f t="shared" si="169"/>
        <v>0</v>
      </c>
      <c r="I178" s="73">
        <f t="shared" si="170"/>
        <v>0</v>
      </c>
      <c r="J178" s="74">
        <v>22</v>
      </c>
      <c r="K178" s="57">
        <f t="shared" si="171"/>
        <v>0</v>
      </c>
      <c r="L178" s="75">
        <f t="shared" si="172"/>
        <v>0</v>
      </c>
      <c r="M178" s="76">
        <f t="shared" si="173"/>
        <v>0</v>
      </c>
      <c r="N178" s="76">
        <f t="shared" si="174"/>
        <v>0</v>
      </c>
      <c r="O178" s="77">
        <f t="shared" si="175"/>
        <v>0</v>
      </c>
      <c r="P178" s="77">
        <f t="shared" si="176"/>
        <v>0</v>
      </c>
      <c r="Q178" s="76">
        <f t="shared" si="177"/>
        <v>0</v>
      </c>
      <c r="R178" s="76">
        <f t="shared" si="178"/>
        <v>0</v>
      </c>
      <c r="S178" s="57">
        <f t="shared" si="179"/>
        <v>0</v>
      </c>
    </row>
    <row r="179" spans="1:19" x14ac:dyDescent="0.4">
      <c r="A179" s="57"/>
      <c r="B179" s="57" t="str">
        <f t="shared" si="180"/>
        <v>BAN1938</v>
      </c>
      <c r="C179" s="57"/>
      <c r="D179" s="79"/>
      <c r="E179" s="57"/>
      <c r="F179" s="71">
        <f t="shared" si="181"/>
        <v>32</v>
      </c>
      <c r="G179" s="72">
        <f t="shared" si="182"/>
        <v>0</v>
      </c>
      <c r="H179" s="57">
        <f t="shared" si="169"/>
        <v>0</v>
      </c>
      <c r="I179" s="73">
        <f t="shared" si="170"/>
        <v>0</v>
      </c>
      <c r="J179" s="74">
        <v>22</v>
      </c>
      <c r="K179" s="57">
        <f t="shared" si="171"/>
        <v>0</v>
      </c>
      <c r="L179" s="75">
        <f t="shared" si="172"/>
        <v>0</v>
      </c>
      <c r="M179" s="76">
        <f t="shared" si="173"/>
        <v>0</v>
      </c>
      <c r="N179" s="76">
        <f t="shared" si="174"/>
        <v>0</v>
      </c>
      <c r="O179" s="77">
        <f t="shared" si="175"/>
        <v>0</v>
      </c>
      <c r="P179" s="77">
        <f t="shared" si="176"/>
        <v>0</v>
      </c>
      <c r="Q179" s="76">
        <f t="shared" si="177"/>
        <v>0</v>
      </c>
      <c r="R179" s="76">
        <f t="shared" si="178"/>
        <v>0</v>
      </c>
      <c r="S179" s="57">
        <f t="shared" si="179"/>
        <v>0</v>
      </c>
    </row>
    <row r="180" spans="1:19" x14ac:dyDescent="0.4">
      <c r="A180" s="57"/>
      <c r="B180" s="57" t="str">
        <f t="shared" si="180"/>
        <v>BAN1938</v>
      </c>
      <c r="C180" s="57"/>
      <c r="D180" s="57"/>
      <c r="E180" s="57"/>
      <c r="F180" s="71">
        <f t="shared" si="181"/>
        <v>61</v>
      </c>
      <c r="G180" s="72">
        <f t="shared" si="182"/>
        <v>0</v>
      </c>
      <c r="H180" s="57">
        <f t="shared" si="169"/>
        <v>0</v>
      </c>
      <c r="I180" s="73">
        <f t="shared" si="170"/>
        <v>0</v>
      </c>
      <c r="J180" s="74">
        <v>22</v>
      </c>
      <c r="K180" s="57">
        <f t="shared" si="171"/>
        <v>0</v>
      </c>
      <c r="L180" s="75">
        <f t="shared" si="172"/>
        <v>0</v>
      </c>
      <c r="M180" s="76">
        <f t="shared" si="173"/>
        <v>0</v>
      </c>
      <c r="N180" s="76">
        <f t="shared" si="174"/>
        <v>0</v>
      </c>
      <c r="O180" s="77">
        <f t="shared" si="175"/>
        <v>0</v>
      </c>
      <c r="P180" s="77">
        <f t="shared" si="176"/>
        <v>0</v>
      </c>
      <c r="Q180" s="76">
        <f t="shared" si="177"/>
        <v>0</v>
      </c>
      <c r="R180" s="76">
        <f t="shared" si="178"/>
        <v>0</v>
      </c>
      <c r="S180" s="57">
        <f t="shared" si="179"/>
        <v>0</v>
      </c>
    </row>
    <row r="181" spans="1:19" x14ac:dyDescent="0.4">
      <c r="A181" s="57"/>
      <c r="B181" s="57" t="str">
        <f t="shared" si="180"/>
        <v>BAN1938</v>
      </c>
      <c r="C181" s="57"/>
      <c r="D181" s="57"/>
      <c r="E181" s="57"/>
      <c r="F181" s="71">
        <f t="shared" si="181"/>
        <v>92</v>
      </c>
      <c r="G181" s="72">
        <f t="shared" si="182"/>
        <v>0</v>
      </c>
      <c r="H181" s="57">
        <f t="shared" si="169"/>
        <v>0</v>
      </c>
      <c r="I181" s="73">
        <f t="shared" si="170"/>
        <v>0</v>
      </c>
      <c r="J181" s="74">
        <v>22</v>
      </c>
      <c r="K181" s="57">
        <f t="shared" si="171"/>
        <v>0</v>
      </c>
      <c r="L181" s="75">
        <f t="shared" si="172"/>
        <v>0</v>
      </c>
      <c r="M181" s="76">
        <f t="shared" si="173"/>
        <v>0</v>
      </c>
      <c r="N181" s="76">
        <f t="shared" si="174"/>
        <v>0</v>
      </c>
      <c r="O181" s="77">
        <f t="shared" si="175"/>
        <v>0</v>
      </c>
      <c r="P181" s="77">
        <f t="shared" si="176"/>
        <v>0</v>
      </c>
      <c r="Q181" s="76">
        <f t="shared" si="177"/>
        <v>0</v>
      </c>
      <c r="R181" s="76">
        <f t="shared" si="178"/>
        <v>0</v>
      </c>
      <c r="S181" s="57">
        <f t="shared" si="179"/>
        <v>0</v>
      </c>
    </row>
    <row r="182" spans="1:19" x14ac:dyDescent="0.4">
      <c r="A182" s="57"/>
      <c r="B182" s="57" t="str">
        <f t="shared" si="180"/>
        <v>BAN1938</v>
      </c>
      <c r="C182" s="57"/>
      <c r="D182" s="57"/>
      <c r="E182" s="57"/>
      <c r="F182" s="71">
        <f t="shared" si="181"/>
        <v>122</v>
      </c>
      <c r="G182" s="72">
        <f t="shared" si="182"/>
        <v>0</v>
      </c>
      <c r="H182" s="57">
        <f t="shared" si="169"/>
        <v>0</v>
      </c>
      <c r="I182" s="73">
        <f t="shared" si="170"/>
        <v>0</v>
      </c>
      <c r="J182" s="74">
        <v>22</v>
      </c>
      <c r="K182" s="57">
        <f t="shared" si="171"/>
        <v>0</v>
      </c>
      <c r="L182" s="75">
        <f t="shared" si="172"/>
        <v>0</v>
      </c>
      <c r="M182" s="76">
        <f t="shared" si="173"/>
        <v>0</v>
      </c>
      <c r="N182" s="76">
        <f t="shared" si="174"/>
        <v>0</v>
      </c>
      <c r="O182" s="77">
        <f t="shared" si="175"/>
        <v>0</v>
      </c>
      <c r="P182" s="77">
        <f t="shared" si="176"/>
        <v>0</v>
      </c>
      <c r="Q182" s="76">
        <f t="shared" si="177"/>
        <v>0</v>
      </c>
      <c r="R182" s="76">
        <f t="shared" si="178"/>
        <v>0</v>
      </c>
      <c r="S182" s="57">
        <f t="shared" si="179"/>
        <v>0</v>
      </c>
    </row>
    <row r="183" spans="1:19" x14ac:dyDescent="0.4">
      <c r="B183" s="57"/>
    </row>
    <row r="184" spans="1:19" ht="123" customHeight="1" x14ac:dyDescent="0.4">
      <c r="A184" s="69" t="s">
        <v>11</v>
      </c>
      <c r="B184" s="69" t="s">
        <v>11</v>
      </c>
      <c r="C184" s="69" t="s">
        <v>155</v>
      </c>
      <c r="D184" s="69" t="s">
        <v>158</v>
      </c>
      <c r="E184" s="69" t="s">
        <v>185</v>
      </c>
      <c r="F184" s="69" t="s">
        <v>186</v>
      </c>
      <c r="G184" s="70" t="s">
        <v>156</v>
      </c>
      <c r="H184" s="69" t="s">
        <v>187</v>
      </c>
      <c r="I184" s="69" t="s">
        <v>188</v>
      </c>
      <c r="J184" s="69" t="s">
        <v>158</v>
      </c>
      <c r="K184" s="69" t="s">
        <v>159</v>
      </c>
      <c r="L184" s="69" t="s">
        <v>160</v>
      </c>
      <c r="M184" s="69" t="s">
        <v>161</v>
      </c>
      <c r="N184" s="69" t="s">
        <v>162</v>
      </c>
      <c r="O184" s="69" t="s">
        <v>163</v>
      </c>
      <c r="P184" s="69" t="s">
        <v>164</v>
      </c>
      <c r="Q184" s="69" t="s">
        <v>165</v>
      </c>
      <c r="R184" s="69" t="s">
        <v>166</v>
      </c>
      <c r="S184" s="69" t="s">
        <v>189</v>
      </c>
    </row>
    <row r="185" spans="1:19" x14ac:dyDescent="0.4">
      <c r="A185" s="57">
        <f>+A171+1</f>
        <v>14</v>
      </c>
      <c r="B185" s="57" t="str">
        <f>INDEX('sale resgister'!B:B,A185+1,1)</f>
        <v>BAN1939</v>
      </c>
      <c r="C185" s="71">
        <f>+VLOOKUP(B185,'sale resgister'!B:J,9,0)</f>
        <v>45901</v>
      </c>
      <c r="D185" s="79" t="str">
        <f>+VLOOKUP(B185,'sale resgister'!B:J,2,0)</f>
        <v>Batch 2</v>
      </c>
      <c r="E185" s="96">
        <f>IF(C185=0,0,VLOOKUP(B185,'sale resgister'!B:J,4,0))</f>
        <v>15.692</v>
      </c>
      <c r="F185" s="71">
        <f>DATE(YEAR(C185),MONTH(C185)+1,1)</f>
        <v>45931</v>
      </c>
      <c r="G185" s="72">
        <f>E185</f>
        <v>15.692</v>
      </c>
      <c r="H185" s="57">
        <f t="shared" ref="H185:H196" si="183">ROUND(+G185*$H$1,3)</f>
        <v>1.0980000000000001</v>
      </c>
      <c r="I185" s="73">
        <f t="shared" ref="I185:I196" si="184">IFERROR(+VLOOKUP(F185,$W$3:$X$15,2,0),0)</f>
        <v>12115</v>
      </c>
      <c r="J185" s="74">
        <v>22</v>
      </c>
      <c r="K185" s="57">
        <f t="shared" ref="K185:K196" si="185">ROUND(+H185*97%,3)</f>
        <v>1.0649999999999999</v>
      </c>
      <c r="L185" s="75">
        <f t="shared" ref="L185:L196" si="186">(K185-H185*92%)*I185</f>
        <v>664.38659999999732</v>
      </c>
      <c r="M185" s="76">
        <f t="shared" ref="M185:M196" si="187">ROUND(I185*92%*H185,2)</f>
        <v>12238.09</v>
      </c>
      <c r="N185" s="76">
        <f t="shared" ref="N185:N196" si="188">ROUND(+M185*0.11,2)</f>
        <v>1346.19</v>
      </c>
      <c r="O185" s="77">
        <f t="shared" ref="O185:O196" si="189">+N185-L185</f>
        <v>681.80340000000274</v>
      </c>
      <c r="P185" s="77">
        <f t="shared" ref="P185:P196" si="190">ROUND(+O185*15%,2)</f>
        <v>102.27</v>
      </c>
      <c r="Q185" s="76">
        <f t="shared" ref="Q185:Q196" si="191">ROUND(+(O185-P185)*60%,2)</f>
        <v>347.72</v>
      </c>
      <c r="R185" s="76">
        <f t="shared" ref="R185:R196" si="192">ROUND(+(O185-P185)*40%,2)</f>
        <v>231.81</v>
      </c>
      <c r="S185" s="57">
        <f t="shared" ref="S185:S196" si="193">IFERROR(ROUND(+Q185/(I185/92%),3),0)</f>
        <v>2.5999999999999999E-2</v>
      </c>
    </row>
    <row r="186" spans="1:19" x14ac:dyDescent="0.4">
      <c r="A186" s="57"/>
      <c r="B186" s="57" t="str">
        <f t="shared" ref="B186:B196" si="194">+B185</f>
        <v>BAN1939</v>
      </c>
      <c r="C186" s="57"/>
      <c r="D186" s="57"/>
      <c r="E186" s="57"/>
      <c r="F186" s="71">
        <f t="shared" ref="F186:F196" si="195">IF(+DATE(YEAR(F185),MONTH(F185)+1,1)&gt;$G$1+1,0,+DATE(YEAR(F185),MONTH(F185)+1,1))</f>
        <v>45962</v>
      </c>
      <c r="G186" s="72">
        <f t="shared" ref="G186:G196" si="196">ROUND(IF(F186=0,0,(G185+S185)),3)</f>
        <v>15.718</v>
      </c>
      <c r="H186" s="57">
        <f t="shared" si="183"/>
        <v>1.1000000000000001</v>
      </c>
      <c r="I186" s="73">
        <f t="shared" si="184"/>
        <v>12490</v>
      </c>
      <c r="J186" s="74">
        <v>22</v>
      </c>
      <c r="K186" s="57">
        <f t="shared" si="185"/>
        <v>1.0669999999999999</v>
      </c>
      <c r="L186" s="75">
        <f t="shared" si="186"/>
        <v>686.94999999999641</v>
      </c>
      <c r="M186" s="76">
        <f t="shared" si="187"/>
        <v>12639.88</v>
      </c>
      <c r="N186" s="76">
        <f t="shared" si="188"/>
        <v>1390.39</v>
      </c>
      <c r="O186" s="77">
        <f t="shared" si="189"/>
        <v>703.44000000000369</v>
      </c>
      <c r="P186" s="77">
        <f t="shared" si="190"/>
        <v>105.52</v>
      </c>
      <c r="Q186" s="76">
        <f t="shared" si="191"/>
        <v>358.75</v>
      </c>
      <c r="R186" s="76">
        <f t="shared" si="192"/>
        <v>239.17</v>
      </c>
      <c r="S186" s="57">
        <f t="shared" si="193"/>
        <v>2.5999999999999999E-2</v>
      </c>
    </row>
    <row r="187" spans="1:19" x14ac:dyDescent="0.4">
      <c r="A187" s="57"/>
      <c r="B187" s="57" t="str">
        <f t="shared" si="194"/>
        <v>BAN1939</v>
      </c>
      <c r="C187" s="57"/>
      <c r="D187" s="57"/>
      <c r="E187" s="71"/>
      <c r="F187" s="71">
        <f t="shared" si="195"/>
        <v>45992</v>
      </c>
      <c r="G187" s="72">
        <f t="shared" si="196"/>
        <v>15.744</v>
      </c>
      <c r="H187" s="57">
        <f t="shared" si="183"/>
        <v>1.1020000000000001</v>
      </c>
      <c r="I187" s="73">
        <f t="shared" si="184"/>
        <v>13220</v>
      </c>
      <c r="J187" s="74">
        <v>22</v>
      </c>
      <c r="K187" s="57">
        <f t="shared" si="185"/>
        <v>1.069</v>
      </c>
      <c r="L187" s="75">
        <f t="shared" si="186"/>
        <v>729.21519999999839</v>
      </c>
      <c r="M187" s="76">
        <f t="shared" si="187"/>
        <v>13402.96</v>
      </c>
      <c r="N187" s="76">
        <f t="shared" si="188"/>
        <v>1474.33</v>
      </c>
      <c r="O187" s="77">
        <f t="shared" si="189"/>
        <v>745.11480000000154</v>
      </c>
      <c r="P187" s="77">
        <f t="shared" si="190"/>
        <v>111.77</v>
      </c>
      <c r="Q187" s="76">
        <f t="shared" si="191"/>
        <v>380.01</v>
      </c>
      <c r="R187" s="76">
        <f t="shared" si="192"/>
        <v>253.34</v>
      </c>
      <c r="S187" s="57">
        <f t="shared" si="193"/>
        <v>2.5999999999999999E-2</v>
      </c>
    </row>
    <row r="188" spans="1:19" x14ac:dyDescent="0.4">
      <c r="A188" s="57"/>
      <c r="B188" s="57" t="str">
        <f t="shared" si="194"/>
        <v>BAN1939</v>
      </c>
      <c r="C188" s="57"/>
      <c r="D188" s="57"/>
      <c r="E188" s="57"/>
      <c r="F188" s="71">
        <f t="shared" si="195"/>
        <v>46023</v>
      </c>
      <c r="G188" s="72">
        <f t="shared" si="196"/>
        <v>15.77</v>
      </c>
      <c r="H188" s="57">
        <f t="shared" si="183"/>
        <v>1.1040000000000001</v>
      </c>
      <c r="I188" s="73">
        <f t="shared" si="184"/>
        <v>13790</v>
      </c>
      <c r="J188" s="74">
        <v>22</v>
      </c>
      <c r="K188" s="57">
        <f t="shared" si="185"/>
        <v>1.071</v>
      </c>
      <c r="L188" s="75">
        <f t="shared" si="186"/>
        <v>762.86279999999738</v>
      </c>
      <c r="M188" s="76">
        <f t="shared" si="187"/>
        <v>14006.23</v>
      </c>
      <c r="N188" s="76">
        <f t="shared" si="188"/>
        <v>1540.69</v>
      </c>
      <c r="O188" s="77">
        <f t="shared" si="189"/>
        <v>777.82720000000268</v>
      </c>
      <c r="P188" s="77">
        <f t="shared" si="190"/>
        <v>116.67</v>
      </c>
      <c r="Q188" s="76">
        <f t="shared" si="191"/>
        <v>396.69</v>
      </c>
      <c r="R188" s="76">
        <f t="shared" si="192"/>
        <v>264.45999999999998</v>
      </c>
      <c r="S188" s="57">
        <f t="shared" si="193"/>
        <v>2.5999999999999999E-2</v>
      </c>
    </row>
    <row r="189" spans="1:19" x14ac:dyDescent="0.4">
      <c r="A189" s="57"/>
      <c r="B189" s="57" t="str">
        <f t="shared" si="194"/>
        <v>BAN1939</v>
      </c>
      <c r="C189" s="71"/>
      <c r="D189" s="57"/>
      <c r="E189" s="57"/>
      <c r="F189" s="71">
        <f t="shared" si="195"/>
        <v>46054</v>
      </c>
      <c r="G189" s="72">
        <f t="shared" si="196"/>
        <v>15.795999999999999</v>
      </c>
      <c r="H189" s="57">
        <f t="shared" si="183"/>
        <v>1.1060000000000001</v>
      </c>
      <c r="I189" s="73">
        <f t="shared" si="184"/>
        <v>15760</v>
      </c>
      <c r="J189" s="74">
        <v>22</v>
      </c>
      <c r="K189" s="57">
        <f t="shared" si="185"/>
        <v>1.073</v>
      </c>
      <c r="L189" s="75">
        <f t="shared" si="186"/>
        <v>874.36479999999608</v>
      </c>
      <c r="M189" s="76">
        <f t="shared" si="187"/>
        <v>16036.12</v>
      </c>
      <c r="N189" s="76">
        <f t="shared" si="188"/>
        <v>1763.97</v>
      </c>
      <c r="O189" s="77">
        <f t="shared" si="189"/>
        <v>889.60520000000395</v>
      </c>
      <c r="P189" s="77">
        <f t="shared" si="190"/>
        <v>133.44</v>
      </c>
      <c r="Q189" s="76">
        <f t="shared" si="191"/>
        <v>453.7</v>
      </c>
      <c r="R189" s="76">
        <f t="shared" si="192"/>
        <v>302.47000000000003</v>
      </c>
      <c r="S189" s="57">
        <f t="shared" si="193"/>
        <v>2.5999999999999999E-2</v>
      </c>
    </row>
    <row r="190" spans="1:19" x14ac:dyDescent="0.4">
      <c r="A190" s="57"/>
      <c r="B190" s="57" t="str">
        <f t="shared" si="194"/>
        <v>BAN1939</v>
      </c>
      <c r="C190" s="57"/>
      <c r="D190" s="57"/>
      <c r="E190" s="57"/>
      <c r="F190" s="71">
        <f t="shared" si="195"/>
        <v>46082</v>
      </c>
      <c r="G190" s="72">
        <f t="shared" si="196"/>
        <v>15.821999999999999</v>
      </c>
      <c r="H190" s="57">
        <f t="shared" si="183"/>
        <v>1.1080000000000001</v>
      </c>
      <c r="I190" s="73">
        <f t="shared" si="184"/>
        <v>17200</v>
      </c>
      <c r="J190" s="74">
        <v>22</v>
      </c>
      <c r="K190" s="57">
        <f t="shared" si="185"/>
        <v>1.075</v>
      </c>
      <c r="L190" s="75">
        <f t="shared" si="186"/>
        <v>957.00799999999845</v>
      </c>
      <c r="M190" s="76">
        <f t="shared" si="187"/>
        <v>17532.990000000002</v>
      </c>
      <c r="N190" s="76">
        <f t="shared" si="188"/>
        <v>1928.63</v>
      </c>
      <c r="O190" s="77">
        <f t="shared" si="189"/>
        <v>971.62200000000166</v>
      </c>
      <c r="P190" s="77">
        <f t="shared" si="190"/>
        <v>145.74</v>
      </c>
      <c r="Q190" s="76">
        <f t="shared" si="191"/>
        <v>495.53</v>
      </c>
      <c r="R190" s="76">
        <f t="shared" si="192"/>
        <v>330.35</v>
      </c>
      <c r="S190" s="57">
        <f t="shared" si="193"/>
        <v>2.7E-2</v>
      </c>
    </row>
    <row r="191" spans="1:19" x14ac:dyDescent="0.4">
      <c r="A191" s="57"/>
      <c r="B191" s="57" t="str">
        <f t="shared" si="194"/>
        <v>BAN1939</v>
      </c>
      <c r="C191" s="57"/>
      <c r="D191" s="57"/>
      <c r="E191" s="57"/>
      <c r="F191" s="71">
        <f t="shared" si="195"/>
        <v>46113</v>
      </c>
      <c r="G191" s="72">
        <f t="shared" si="196"/>
        <v>15.849</v>
      </c>
      <c r="H191" s="57">
        <f t="shared" si="183"/>
        <v>1.109</v>
      </c>
      <c r="I191" s="73">
        <f t="shared" si="184"/>
        <v>15450</v>
      </c>
      <c r="J191" s="74">
        <v>22</v>
      </c>
      <c r="K191" s="57">
        <f t="shared" si="185"/>
        <v>1.0760000000000001</v>
      </c>
      <c r="L191" s="75">
        <f t="shared" si="186"/>
        <v>860.87399999999991</v>
      </c>
      <c r="M191" s="76">
        <f t="shared" si="187"/>
        <v>15763.33</v>
      </c>
      <c r="N191" s="76">
        <f t="shared" si="188"/>
        <v>1733.97</v>
      </c>
      <c r="O191" s="77">
        <f t="shared" si="189"/>
        <v>873.09600000000012</v>
      </c>
      <c r="P191" s="77">
        <f t="shared" si="190"/>
        <v>130.96</v>
      </c>
      <c r="Q191" s="76">
        <f t="shared" si="191"/>
        <v>445.28</v>
      </c>
      <c r="R191" s="76">
        <f t="shared" si="192"/>
        <v>296.85000000000002</v>
      </c>
      <c r="S191" s="57">
        <f t="shared" si="193"/>
        <v>2.7E-2</v>
      </c>
    </row>
    <row r="192" spans="1:19" x14ac:dyDescent="0.4">
      <c r="A192" s="57"/>
      <c r="B192" s="57" t="str">
        <f t="shared" si="194"/>
        <v>BAN1939</v>
      </c>
      <c r="C192" s="57"/>
      <c r="D192" s="79"/>
      <c r="E192" s="57"/>
      <c r="F192" s="71">
        <f t="shared" si="195"/>
        <v>0</v>
      </c>
      <c r="G192" s="72">
        <f t="shared" si="196"/>
        <v>0</v>
      </c>
      <c r="H192" s="57">
        <f t="shared" si="183"/>
        <v>0</v>
      </c>
      <c r="I192" s="73">
        <f t="shared" si="184"/>
        <v>0</v>
      </c>
      <c r="J192" s="74">
        <v>22</v>
      </c>
      <c r="K192" s="57">
        <f t="shared" si="185"/>
        <v>0</v>
      </c>
      <c r="L192" s="75">
        <f t="shared" si="186"/>
        <v>0</v>
      </c>
      <c r="M192" s="76">
        <f t="shared" si="187"/>
        <v>0</v>
      </c>
      <c r="N192" s="76">
        <f t="shared" si="188"/>
        <v>0</v>
      </c>
      <c r="O192" s="77">
        <f t="shared" si="189"/>
        <v>0</v>
      </c>
      <c r="P192" s="77">
        <f t="shared" si="190"/>
        <v>0</v>
      </c>
      <c r="Q192" s="76">
        <f t="shared" si="191"/>
        <v>0</v>
      </c>
      <c r="R192" s="76">
        <f t="shared" si="192"/>
        <v>0</v>
      </c>
      <c r="S192" s="57">
        <f t="shared" si="193"/>
        <v>0</v>
      </c>
    </row>
    <row r="193" spans="1:19" x14ac:dyDescent="0.4">
      <c r="A193" s="57"/>
      <c r="B193" s="57" t="str">
        <f t="shared" si="194"/>
        <v>BAN1939</v>
      </c>
      <c r="C193" s="57"/>
      <c r="D193" s="79"/>
      <c r="E193" s="57"/>
      <c r="F193" s="71">
        <f t="shared" si="195"/>
        <v>32</v>
      </c>
      <c r="G193" s="72">
        <f t="shared" si="196"/>
        <v>0</v>
      </c>
      <c r="H193" s="57">
        <f t="shared" si="183"/>
        <v>0</v>
      </c>
      <c r="I193" s="73">
        <f t="shared" si="184"/>
        <v>0</v>
      </c>
      <c r="J193" s="74">
        <v>22</v>
      </c>
      <c r="K193" s="57">
        <f t="shared" si="185"/>
        <v>0</v>
      </c>
      <c r="L193" s="75">
        <f t="shared" si="186"/>
        <v>0</v>
      </c>
      <c r="M193" s="76">
        <f t="shared" si="187"/>
        <v>0</v>
      </c>
      <c r="N193" s="76">
        <f t="shared" si="188"/>
        <v>0</v>
      </c>
      <c r="O193" s="77">
        <f t="shared" si="189"/>
        <v>0</v>
      </c>
      <c r="P193" s="77">
        <f t="shared" si="190"/>
        <v>0</v>
      </c>
      <c r="Q193" s="76">
        <f t="shared" si="191"/>
        <v>0</v>
      </c>
      <c r="R193" s="76">
        <f t="shared" si="192"/>
        <v>0</v>
      </c>
      <c r="S193" s="57">
        <f t="shared" si="193"/>
        <v>0</v>
      </c>
    </row>
    <row r="194" spans="1:19" x14ac:dyDescent="0.4">
      <c r="A194" s="57"/>
      <c r="B194" s="57" t="str">
        <f t="shared" si="194"/>
        <v>BAN1939</v>
      </c>
      <c r="C194" s="57"/>
      <c r="D194" s="57"/>
      <c r="E194" s="57"/>
      <c r="F194" s="71">
        <f t="shared" si="195"/>
        <v>61</v>
      </c>
      <c r="G194" s="72">
        <f t="shared" si="196"/>
        <v>0</v>
      </c>
      <c r="H194" s="57">
        <f t="shared" si="183"/>
        <v>0</v>
      </c>
      <c r="I194" s="73">
        <f t="shared" si="184"/>
        <v>0</v>
      </c>
      <c r="J194" s="74">
        <v>22</v>
      </c>
      <c r="K194" s="57">
        <f t="shared" si="185"/>
        <v>0</v>
      </c>
      <c r="L194" s="75">
        <f t="shared" si="186"/>
        <v>0</v>
      </c>
      <c r="M194" s="76">
        <f t="shared" si="187"/>
        <v>0</v>
      </c>
      <c r="N194" s="76">
        <f t="shared" si="188"/>
        <v>0</v>
      </c>
      <c r="O194" s="77">
        <f t="shared" si="189"/>
        <v>0</v>
      </c>
      <c r="P194" s="77">
        <f t="shared" si="190"/>
        <v>0</v>
      </c>
      <c r="Q194" s="76">
        <f t="shared" si="191"/>
        <v>0</v>
      </c>
      <c r="R194" s="76">
        <f t="shared" si="192"/>
        <v>0</v>
      </c>
      <c r="S194" s="57">
        <f t="shared" si="193"/>
        <v>0</v>
      </c>
    </row>
    <row r="195" spans="1:19" x14ac:dyDescent="0.4">
      <c r="A195" s="57"/>
      <c r="B195" s="57" t="str">
        <f t="shared" si="194"/>
        <v>BAN1939</v>
      </c>
      <c r="C195" s="57"/>
      <c r="D195" s="57"/>
      <c r="E195" s="57"/>
      <c r="F195" s="71">
        <f t="shared" si="195"/>
        <v>92</v>
      </c>
      <c r="G195" s="72">
        <f t="shared" si="196"/>
        <v>0</v>
      </c>
      <c r="H195" s="57">
        <f t="shared" si="183"/>
        <v>0</v>
      </c>
      <c r="I195" s="73">
        <f t="shared" si="184"/>
        <v>0</v>
      </c>
      <c r="J195" s="74">
        <v>22</v>
      </c>
      <c r="K195" s="57">
        <f t="shared" si="185"/>
        <v>0</v>
      </c>
      <c r="L195" s="75">
        <f t="shared" si="186"/>
        <v>0</v>
      </c>
      <c r="M195" s="76">
        <f t="shared" si="187"/>
        <v>0</v>
      </c>
      <c r="N195" s="76">
        <f t="shared" si="188"/>
        <v>0</v>
      </c>
      <c r="O195" s="77">
        <f t="shared" si="189"/>
        <v>0</v>
      </c>
      <c r="P195" s="77">
        <f t="shared" si="190"/>
        <v>0</v>
      </c>
      <c r="Q195" s="76">
        <f t="shared" si="191"/>
        <v>0</v>
      </c>
      <c r="R195" s="76">
        <f t="shared" si="192"/>
        <v>0</v>
      </c>
      <c r="S195" s="57">
        <f t="shared" si="193"/>
        <v>0</v>
      </c>
    </row>
    <row r="196" spans="1:19" x14ac:dyDescent="0.4">
      <c r="A196" s="57"/>
      <c r="B196" s="57" t="str">
        <f t="shared" si="194"/>
        <v>BAN1939</v>
      </c>
      <c r="C196" s="57"/>
      <c r="D196" s="57"/>
      <c r="E196" s="57"/>
      <c r="F196" s="71">
        <f t="shared" si="195"/>
        <v>122</v>
      </c>
      <c r="G196" s="72">
        <f t="shared" si="196"/>
        <v>0</v>
      </c>
      <c r="H196" s="57">
        <f t="shared" si="183"/>
        <v>0</v>
      </c>
      <c r="I196" s="73">
        <f t="shared" si="184"/>
        <v>0</v>
      </c>
      <c r="J196" s="74">
        <v>22</v>
      </c>
      <c r="K196" s="57">
        <f t="shared" si="185"/>
        <v>0</v>
      </c>
      <c r="L196" s="75">
        <f t="shared" si="186"/>
        <v>0</v>
      </c>
      <c r="M196" s="76">
        <f t="shared" si="187"/>
        <v>0</v>
      </c>
      <c r="N196" s="76">
        <f t="shared" si="188"/>
        <v>0</v>
      </c>
      <c r="O196" s="77">
        <f t="shared" si="189"/>
        <v>0</v>
      </c>
      <c r="P196" s="77">
        <f t="shared" si="190"/>
        <v>0</v>
      </c>
      <c r="Q196" s="76">
        <f t="shared" si="191"/>
        <v>0</v>
      </c>
      <c r="R196" s="76">
        <f t="shared" si="192"/>
        <v>0</v>
      </c>
      <c r="S196" s="57">
        <f t="shared" si="193"/>
        <v>0</v>
      </c>
    </row>
    <row r="197" spans="1:19" x14ac:dyDescent="0.4">
      <c r="B197" s="57"/>
    </row>
    <row r="198" spans="1:19" ht="123" customHeight="1" x14ac:dyDescent="0.4">
      <c r="A198" s="69" t="s">
        <v>11</v>
      </c>
      <c r="B198" s="69" t="s">
        <v>11</v>
      </c>
      <c r="C198" s="69" t="s">
        <v>155</v>
      </c>
      <c r="D198" s="69" t="s">
        <v>158</v>
      </c>
      <c r="E198" s="69" t="s">
        <v>185</v>
      </c>
      <c r="F198" s="69" t="s">
        <v>186</v>
      </c>
      <c r="G198" s="70" t="s">
        <v>156</v>
      </c>
      <c r="H198" s="69" t="s">
        <v>187</v>
      </c>
      <c r="I198" s="69" t="s">
        <v>188</v>
      </c>
      <c r="J198" s="69" t="s">
        <v>158</v>
      </c>
      <c r="K198" s="69" t="s">
        <v>159</v>
      </c>
      <c r="L198" s="69" t="s">
        <v>160</v>
      </c>
      <c r="M198" s="69" t="s">
        <v>161</v>
      </c>
      <c r="N198" s="69" t="s">
        <v>162</v>
      </c>
      <c r="O198" s="69" t="s">
        <v>163</v>
      </c>
      <c r="P198" s="69" t="s">
        <v>164</v>
      </c>
      <c r="Q198" s="69" t="s">
        <v>165</v>
      </c>
      <c r="R198" s="69" t="s">
        <v>166</v>
      </c>
      <c r="S198" s="69" t="s">
        <v>189</v>
      </c>
    </row>
    <row r="199" spans="1:19" x14ac:dyDescent="0.4">
      <c r="A199" s="57">
        <f>+A185+1</f>
        <v>15</v>
      </c>
      <c r="B199" s="57" t="str">
        <f>INDEX('sale resgister'!B:B,A199+1,1)</f>
        <v>RIN103096</v>
      </c>
      <c r="C199" s="71">
        <f>+VLOOKUP(B199,'sale resgister'!B:J,9,0)</f>
        <v>45884</v>
      </c>
      <c r="D199" s="79" t="str">
        <f>+VLOOKUP(B199,'sale resgister'!B:J,2,0)</f>
        <v>Batch 3</v>
      </c>
      <c r="E199" s="96">
        <f>IF(C199=0,0,VLOOKUP(B199,'sale resgister'!B:J,4,0))</f>
        <v>5.4619999999999997</v>
      </c>
      <c r="F199" s="71">
        <f>DATE(YEAR(C199),MONTH(C199)+1,1)</f>
        <v>45901</v>
      </c>
      <c r="G199" s="72">
        <f>E199</f>
        <v>5.4619999999999997</v>
      </c>
      <c r="H199" s="57">
        <f t="shared" ref="H199:H210" si="197">ROUND(+G199*$H$1,3)</f>
        <v>0.38200000000000001</v>
      </c>
      <c r="I199" s="73">
        <f t="shared" ref="I199:I210" si="198">IFERROR(+VLOOKUP(F199,$W$3:$X$15,2,0),0)</f>
        <v>10929</v>
      </c>
      <c r="J199" s="74">
        <v>22</v>
      </c>
      <c r="K199" s="57">
        <f t="shared" ref="K199:K210" si="199">ROUND(+H199*97%,3)</f>
        <v>0.371</v>
      </c>
      <c r="L199" s="75">
        <f t="shared" ref="L199:L210" si="200">(K199-H199*92%)*I199</f>
        <v>213.77123999999964</v>
      </c>
      <c r="M199" s="76">
        <f t="shared" ref="M199:M210" si="201">ROUND(I199*92%*H199,2)</f>
        <v>3840.89</v>
      </c>
      <c r="N199" s="76">
        <f t="shared" ref="N199:N210" si="202">ROUND(+M199*0.11,2)</f>
        <v>422.5</v>
      </c>
      <c r="O199" s="77">
        <f t="shared" ref="O199:O210" si="203">+N199-L199</f>
        <v>208.72876000000036</v>
      </c>
      <c r="P199" s="77">
        <f t="shared" ref="P199:P210" si="204">ROUND(+O199*15%,2)</f>
        <v>31.31</v>
      </c>
      <c r="Q199" s="76">
        <f t="shared" ref="Q199:Q210" si="205">ROUND(+(O199-P199)*60%,2)</f>
        <v>106.45</v>
      </c>
      <c r="R199" s="76">
        <f t="shared" ref="R199:R210" si="206">ROUND(+(O199-P199)*40%,2)</f>
        <v>70.97</v>
      </c>
      <c r="S199" s="57">
        <f t="shared" ref="S199:S210" si="207">IFERROR(ROUND(+Q199/(I199/92%),3),0)</f>
        <v>8.9999999999999993E-3</v>
      </c>
    </row>
    <row r="200" spans="1:19" x14ac:dyDescent="0.4">
      <c r="A200" s="57"/>
      <c r="B200" s="57" t="str">
        <f t="shared" ref="B200:B210" si="208">+B199</f>
        <v>RIN103096</v>
      </c>
      <c r="C200" s="57"/>
      <c r="D200" s="57"/>
      <c r="E200" s="57"/>
      <c r="F200" s="71">
        <f t="shared" ref="F200:F210" si="209">IF(+DATE(YEAR(F199),MONTH(F199)+1,1)&gt;$G$1+1,0,+DATE(YEAR(F199),MONTH(F199)+1,1))</f>
        <v>45931</v>
      </c>
      <c r="G200" s="72">
        <f t="shared" ref="G200:G210" si="210">ROUND(IF(F200=0,0,(G199+S199)),3)</f>
        <v>5.4710000000000001</v>
      </c>
      <c r="H200" s="57">
        <f t="shared" si="197"/>
        <v>0.38300000000000001</v>
      </c>
      <c r="I200" s="73">
        <f t="shared" si="198"/>
        <v>12115</v>
      </c>
      <c r="J200" s="74">
        <v>22</v>
      </c>
      <c r="K200" s="57">
        <f t="shared" si="199"/>
        <v>0.372</v>
      </c>
      <c r="L200" s="75">
        <f t="shared" si="200"/>
        <v>237.93859999999989</v>
      </c>
      <c r="M200" s="76">
        <f t="shared" si="201"/>
        <v>4268.84</v>
      </c>
      <c r="N200" s="76">
        <f t="shared" si="202"/>
        <v>469.57</v>
      </c>
      <c r="O200" s="77">
        <f t="shared" si="203"/>
        <v>231.6314000000001</v>
      </c>
      <c r="P200" s="77">
        <f t="shared" si="204"/>
        <v>34.74</v>
      </c>
      <c r="Q200" s="76">
        <f t="shared" si="205"/>
        <v>118.13</v>
      </c>
      <c r="R200" s="76">
        <f t="shared" si="206"/>
        <v>78.760000000000005</v>
      </c>
      <c r="S200" s="57">
        <f t="shared" si="207"/>
        <v>8.9999999999999993E-3</v>
      </c>
    </row>
    <row r="201" spans="1:19" x14ac:dyDescent="0.4">
      <c r="A201" s="57"/>
      <c r="B201" s="57" t="str">
        <f t="shared" si="208"/>
        <v>RIN103096</v>
      </c>
      <c r="C201" s="57"/>
      <c r="D201" s="57"/>
      <c r="E201" s="71"/>
      <c r="F201" s="71">
        <f t="shared" si="209"/>
        <v>45962</v>
      </c>
      <c r="G201" s="72">
        <f t="shared" si="210"/>
        <v>5.48</v>
      </c>
      <c r="H201" s="57">
        <f t="shared" si="197"/>
        <v>0.38400000000000001</v>
      </c>
      <c r="I201" s="73">
        <f t="shared" si="198"/>
        <v>12490</v>
      </c>
      <c r="J201" s="74">
        <v>22</v>
      </c>
      <c r="K201" s="57">
        <f t="shared" si="199"/>
        <v>0.372</v>
      </c>
      <c r="L201" s="75">
        <f t="shared" si="200"/>
        <v>233.8127999999995</v>
      </c>
      <c r="M201" s="76">
        <f t="shared" si="201"/>
        <v>4412.47</v>
      </c>
      <c r="N201" s="76">
        <f t="shared" si="202"/>
        <v>485.37</v>
      </c>
      <c r="O201" s="77">
        <f t="shared" si="203"/>
        <v>251.55720000000051</v>
      </c>
      <c r="P201" s="77">
        <f t="shared" si="204"/>
        <v>37.729999999999997</v>
      </c>
      <c r="Q201" s="76">
        <f t="shared" si="205"/>
        <v>128.30000000000001</v>
      </c>
      <c r="R201" s="76">
        <f t="shared" si="206"/>
        <v>85.53</v>
      </c>
      <c r="S201" s="57">
        <f t="shared" si="207"/>
        <v>8.9999999999999993E-3</v>
      </c>
    </row>
    <row r="202" spans="1:19" x14ac:dyDescent="0.4">
      <c r="A202" s="57"/>
      <c r="B202" s="57" t="str">
        <f t="shared" si="208"/>
        <v>RIN103096</v>
      </c>
      <c r="C202" s="57"/>
      <c r="D202" s="57"/>
      <c r="E202" s="57"/>
      <c r="F202" s="71">
        <f t="shared" si="209"/>
        <v>45992</v>
      </c>
      <c r="G202" s="72">
        <f t="shared" si="210"/>
        <v>5.4889999999999999</v>
      </c>
      <c r="H202" s="57">
        <f t="shared" si="197"/>
        <v>0.38400000000000001</v>
      </c>
      <c r="I202" s="73">
        <f t="shared" si="198"/>
        <v>13220</v>
      </c>
      <c r="J202" s="74">
        <v>22</v>
      </c>
      <c r="K202" s="57">
        <f t="shared" si="199"/>
        <v>0.372</v>
      </c>
      <c r="L202" s="75">
        <f t="shared" si="200"/>
        <v>247.47839999999945</v>
      </c>
      <c r="M202" s="76">
        <f t="shared" si="201"/>
        <v>4670.3599999999997</v>
      </c>
      <c r="N202" s="76">
        <f t="shared" si="202"/>
        <v>513.74</v>
      </c>
      <c r="O202" s="77">
        <f t="shared" si="203"/>
        <v>266.26160000000056</v>
      </c>
      <c r="P202" s="77">
        <f t="shared" si="204"/>
        <v>39.94</v>
      </c>
      <c r="Q202" s="76">
        <f t="shared" si="205"/>
        <v>135.79</v>
      </c>
      <c r="R202" s="76">
        <f t="shared" si="206"/>
        <v>90.53</v>
      </c>
      <c r="S202" s="57">
        <f t="shared" si="207"/>
        <v>8.9999999999999993E-3</v>
      </c>
    </row>
    <row r="203" spans="1:19" x14ac:dyDescent="0.4">
      <c r="A203" s="57"/>
      <c r="B203" s="57" t="str">
        <f t="shared" si="208"/>
        <v>RIN103096</v>
      </c>
      <c r="C203" s="71"/>
      <c r="D203" s="57"/>
      <c r="E203" s="57"/>
      <c r="F203" s="71">
        <f t="shared" si="209"/>
        <v>46023</v>
      </c>
      <c r="G203" s="72">
        <f t="shared" si="210"/>
        <v>5.4980000000000002</v>
      </c>
      <c r="H203" s="57">
        <f t="shared" si="197"/>
        <v>0.38500000000000001</v>
      </c>
      <c r="I203" s="73">
        <f t="shared" si="198"/>
        <v>13790</v>
      </c>
      <c r="J203" s="74">
        <v>22</v>
      </c>
      <c r="K203" s="57">
        <f t="shared" si="199"/>
        <v>0.373</v>
      </c>
      <c r="L203" s="75">
        <f t="shared" si="200"/>
        <v>259.25199999999978</v>
      </c>
      <c r="M203" s="76">
        <f t="shared" si="201"/>
        <v>4884.42</v>
      </c>
      <c r="N203" s="76">
        <f t="shared" si="202"/>
        <v>537.29</v>
      </c>
      <c r="O203" s="77">
        <f t="shared" si="203"/>
        <v>278.03800000000018</v>
      </c>
      <c r="P203" s="77">
        <f t="shared" si="204"/>
        <v>41.71</v>
      </c>
      <c r="Q203" s="76">
        <f t="shared" si="205"/>
        <v>141.80000000000001</v>
      </c>
      <c r="R203" s="76">
        <f t="shared" si="206"/>
        <v>94.53</v>
      </c>
      <c r="S203" s="57">
        <f t="shared" si="207"/>
        <v>8.9999999999999993E-3</v>
      </c>
    </row>
    <row r="204" spans="1:19" x14ac:dyDescent="0.4">
      <c r="A204" s="57"/>
      <c r="B204" s="57" t="str">
        <f t="shared" si="208"/>
        <v>RIN103096</v>
      </c>
      <c r="C204" s="57"/>
      <c r="D204" s="57"/>
      <c r="E204" s="57"/>
      <c r="F204" s="71">
        <f t="shared" si="209"/>
        <v>46054</v>
      </c>
      <c r="G204" s="72">
        <f t="shared" si="210"/>
        <v>5.5069999999999997</v>
      </c>
      <c r="H204" s="57">
        <f t="shared" si="197"/>
        <v>0.38500000000000001</v>
      </c>
      <c r="I204" s="73">
        <f t="shared" si="198"/>
        <v>15760</v>
      </c>
      <c r="J204" s="74">
        <v>22</v>
      </c>
      <c r="K204" s="57">
        <f t="shared" si="199"/>
        <v>0.373</v>
      </c>
      <c r="L204" s="75">
        <f t="shared" si="200"/>
        <v>296.28799999999973</v>
      </c>
      <c r="M204" s="76">
        <f t="shared" si="201"/>
        <v>5582.19</v>
      </c>
      <c r="N204" s="76">
        <f t="shared" si="202"/>
        <v>614.04</v>
      </c>
      <c r="O204" s="77">
        <f t="shared" si="203"/>
        <v>317.75200000000024</v>
      </c>
      <c r="P204" s="77">
        <f t="shared" si="204"/>
        <v>47.66</v>
      </c>
      <c r="Q204" s="76">
        <f t="shared" si="205"/>
        <v>162.06</v>
      </c>
      <c r="R204" s="76">
        <f t="shared" si="206"/>
        <v>108.04</v>
      </c>
      <c r="S204" s="57">
        <f t="shared" si="207"/>
        <v>8.9999999999999993E-3</v>
      </c>
    </row>
    <row r="205" spans="1:19" x14ac:dyDescent="0.4">
      <c r="A205" s="57"/>
      <c r="B205" s="57" t="str">
        <f t="shared" si="208"/>
        <v>RIN103096</v>
      </c>
      <c r="C205" s="57"/>
      <c r="D205" s="57"/>
      <c r="E205" s="57"/>
      <c r="F205" s="71">
        <f t="shared" si="209"/>
        <v>46082</v>
      </c>
      <c r="G205" s="72">
        <f t="shared" si="210"/>
        <v>5.516</v>
      </c>
      <c r="H205" s="57">
        <f t="shared" si="197"/>
        <v>0.38600000000000001</v>
      </c>
      <c r="I205" s="73">
        <f t="shared" si="198"/>
        <v>17200</v>
      </c>
      <c r="J205" s="74">
        <v>22</v>
      </c>
      <c r="K205" s="57">
        <f t="shared" si="199"/>
        <v>0.374</v>
      </c>
      <c r="L205" s="75">
        <f t="shared" si="200"/>
        <v>324.73599999999919</v>
      </c>
      <c r="M205" s="76">
        <f t="shared" si="201"/>
        <v>6108.06</v>
      </c>
      <c r="N205" s="76">
        <f t="shared" si="202"/>
        <v>671.89</v>
      </c>
      <c r="O205" s="77">
        <f t="shared" si="203"/>
        <v>347.15400000000079</v>
      </c>
      <c r="P205" s="77">
        <f t="shared" si="204"/>
        <v>52.07</v>
      </c>
      <c r="Q205" s="76">
        <f t="shared" si="205"/>
        <v>177.05</v>
      </c>
      <c r="R205" s="76">
        <f t="shared" si="206"/>
        <v>118.03</v>
      </c>
      <c r="S205" s="57">
        <f t="shared" si="207"/>
        <v>8.9999999999999993E-3</v>
      </c>
    </row>
    <row r="206" spans="1:19" x14ac:dyDescent="0.4">
      <c r="A206" s="57"/>
      <c r="B206" s="57" t="str">
        <f t="shared" si="208"/>
        <v>RIN103096</v>
      </c>
      <c r="C206" s="57"/>
      <c r="D206" s="79"/>
      <c r="E206" s="57"/>
      <c r="F206" s="71">
        <f t="shared" si="209"/>
        <v>46113</v>
      </c>
      <c r="G206" s="72">
        <f t="shared" si="210"/>
        <v>5.5250000000000004</v>
      </c>
      <c r="H206" s="57">
        <f t="shared" si="197"/>
        <v>0.38700000000000001</v>
      </c>
      <c r="I206" s="73">
        <f t="shared" si="198"/>
        <v>15450</v>
      </c>
      <c r="J206" s="74">
        <v>22</v>
      </c>
      <c r="K206" s="57">
        <f t="shared" si="199"/>
        <v>0.375</v>
      </c>
      <c r="L206" s="75">
        <f t="shared" si="200"/>
        <v>292.93199999999962</v>
      </c>
      <c r="M206" s="76">
        <f t="shared" si="201"/>
        <v>5500.82</v>
      </c>
      <c r="N206" s="76">
        <f t="shared" si="202"/>
        <v>605.09</v>
      </c>
      <c r="O206" s="77">
        <f t="shared" si="203"/>
        <v>312.15800000000041</v>
      </c>
      <c r="P206" s="77">
        <f t="shared" si="204"/>
        <v>46.82</v>
      </c>
      <c r="Q206" s="76">
        <f t="shared" si="205"/>
        <v>159.19999999999999</v>
      </c>
      <c r="R206" s="76">
        <f t="shared" si="206"/>
        <v>106.14</v>
      </c>
      <c r="S206" s="57">
        <f t="shared" si="207"/>
        <v>8.9999999999999993E-3</v>
      </c>
    </row>
    <row r="207" spans="1:19" x14ac:dyDescent="0.4">
      <c r="A207" s="57"/>
      <c r="B207" s="57" t="str">
        <f t="shared" si="208"/>
        <v>RIN103096</v>
      </c>
      <c r="C207" s="57"/>
      <c r="D207" s="79"/>
      <c r="E207" s="57"/>
      <c r="F207" s="71">
        <f t="shared" si="209"/>
        <v>0</v>
      </c>
      <c r="G207" s="72">
        <f t="shared" si="210"/>
        <v>0</v>
      </c>
      <c r="H207" s="57">
        <f t="shared" si="197"/>
        <v>0</v>
      </c>
      <c r="I207" s="73">
        <f t="shared" si="198"/>
        <v>0</v>
      </c>
      <c r="J207" s="74">
        <v>22</v>
      </c>
      <c r="K207" s="57">
        <f t="shared" si="199"/>
        <v>0</v>
      </c>
      <c r="L207" s="75">
        <f t="shared" si="200"/>
        <v>0</v>
      </c>
      <c r="M207" s="76">
        <f t="shared" si="201"/>
        <v>0</v>
      </c>
      <c r="N207" s="76">
        <f t="shared" si="202"/>
        <v>0</v>
      </c>
      <c r="O207" s="77">
        <f t="shared" si="203"/>
        <v>0</v>
      </c>
      <c r="P207" s="77">
        <f t="shared" si="204"/>
        <v>0</v>
      </c>
      <c r="Q207" s="76">
        <f t="shared" si="205"/>
        <v>0</v>
      </c>
      <c r="R207" s="76">
        <f t="shared" si="206"/>
        <v>0</v>
      </c>
      <c r="S207" s="57">
        <f t="shared" si="207"/>
        <v>0</v>
      </c>
    </row>
    <row r="208" spans="1:19" x14ac:dyDescent="0.4">
      <c r="A208" s="57"/>
      <c r="B208" s="57" t="str">
        <f t="shared" si="208"/>
        <v>RIN103096</v>
      </c>
      <c r="C208" s="57"/>
      <c r="D208" s="57"/>
      <c r="E208" s="57"/>
      <c r="F208" s="71">
        <f t="shared" si="209"/>
        <v>32</v>
      </c>
      <c r="G208" s="72">
        <f t="shared" si="210"/>
        <v>0</v>
      </c>
      <c r="H208" s="57">
        <f t="shared" si="197"/>
        <v>0</v>
      </c>
      <c r="I208" s="73">
        <f t="shared" si="198"/>
        <v>0</v>
      </c>
      <c r="J208" s="74">
        <v>22</v>
      </c>
      <c r="K208" s="57">
        <f t="shared" si="199"/>
        <v>0</v>
      </c>
      <c r="L208" s="75">
        <f t="shared" si="200"/>
        <v>0</v>
      </c>
      <c r="M208" s="76">
        <f t="shared" si="201"/>
        <v>0</v>
      </c>
      <c r="N208" s="76">
        <f t="shared" si="202"/>
        <v>0</v>
      </c>
      <c r="O208" s="77">
        <f t="shared" si="203"/>
        <v>0</v>
      </c>
      <c r="P208" s="77">
        <f t="shared" si="204"/>
        <v>0</v>
      </c>
      <c r="Q208" s="76">
        <f t="shared" si="205"/>
        <v>0</v>
      </c>
      <c r="R208" s="76">
        <f t="shared" si="206"/>
        <v>0</v>
      </c>
      <c r="S208" s="57">
        <f t="shared" si="207"/>
        <v>0</v>
      </c>
    </row>
    <row r="209" spans="1:19" x14ac:dyDescent="0.4">
      <c r="A209" s="57"/>
      <c r="B209" s="57" t="str">
        <f t="shared" si="208"/>
        <v>RIN103096</v>
      </c>
      <c r="C209" s="57"/>
      <c r="D209" s="57"/>
      <c r="E209" s="57"/>
      <c r="F209" s="71">
        <f t="shared" si="209"/>
        <v>61</v>
      </c>
      <c r="G209" s="72">
        <f t="shared" si="210"/>
        <v>0</v>
      </c>
      <c r="H209" s="57">
        <f t="shared" si="197"/>
        <v>0</v>
      </c>
      <c r="I209" s="73">
        <f t="shared" si="198"/>
        <v>0</v>
      </c>
      <c r="J209" s="74">
        <v>22</v>
      </c>
      <c r="K209" s="57">
        <f t="shared" si="199"/>
        <v>0</v>
      </c>
      <c r="L209" s="75">
        <f t="shared" si="200"/>
        <v>0</v>
      </c>
      <c r="M209" s="76">
        <f t="shared" si="201"/>
        <v>0</v>
      </c>
      <c r="N209" s="76">
        <f t="shared" si="202"/>
        <v>0</v>
      </c>
      <c r="O209" s="77">
        <f t="shared" si="203"/>
        <v>0</v>
      </c>
      <c r="P209" s="77">
        <f t="shared" si="204"/>
        <v>0</v>
      </c>
      <c r="Q209" s="76">
        <f t="shared" si="205"/>
        <v>0</v>
      </c>
      <c r="R209" s="76">
        <f t="shared" si="206"/>
        <v>0</v>
      </c>
      <c r="S209" s="57">
        <f t="shared" si="207"/>
        <v>0</v>
      </c>
    </row>
    <row r="210" spans="1:19" x14ac:dyDescent="0.4">
      <c r="A210" s="57"/>
      <c r="B210" s="57" t="str">
        <f t="shared" si="208"/>
        <v>RIN103096</v>
      </c>
      <c r="C210" s="57"/>
      <c r="D210" s="57"/>
      <c r="E210" s="57"/>
      <c r="F210" s="71">
        <f t="shared" si="209"/>
        <v>92</v>
      </c>
      <c r="G210" s="72">
        <f t="shared" si="210"/>
        <v>0</v>
      </c>
      <c r="H210" s="57">
        <f t="shared" si="197"/>
        <v>0</v>
      </c>
      <c r="I210" s="73">
        <f t="shared" si="198"/>
        <v>0</v>
      </c>
      <c r="J210" s="74">
        <v>22</v>
      </c>
      <c r="K210" s="57">
        <f t="shared" si="199"/>
        <v>0</v>
      </c>
      <c r="L210" s="75">
        <f t="shared" si="200"/>
        <v>0</v>
      </c>
      <c r="M210" s="76">
        <f t="shared" si="201"/>
        <v>0</v>
      </c>
      <c r="N210" s="76">
        <f t="shared" si="202"/>
        <v>0</v>
      </c>
      <c r="O210" s="77">
        <f t="shared" si="203"/>
        <v>0</v>
      </c>
      <c r="P210" s="77">
        <f t="shared" si="204"/>
        <v>0</v>
      </c>
      <c r="Q210" s="76">
        <f t="shared" si="205"/>
        <v>0</v>
      </c>
      <c r="R210" s="76">
        <f t="shared" si="206"/>
        <v>0</v>
      </c>
      <c r="S210" s="57">
        <f t="shared" si="207"/>
        <v>0</v>
      </c>
    </row>
    <row r="211" spans="1:19" x14ac:dyDescent="0.4">
      <c r="B211" s="57"/>
    </row>
    <row r="212" spans="1:19" ht="123" customHeight="1" x14ac:dyDescent="0.4">
      <c r="A212" s="69" t="s">
        <v>11</v>
      </c>
      <c r="B212" s="69" t="s">
        <v>11</v>
      </c>
      <c r="C212" s="69" t="s">
        <v>155</v>
      </c>
      <c r="D212" s="69" t="s">
        <v>158</v>
      </c>
      <c r="E212" s="69" t="s">
        <v>185</v>
      </c>
      <c r="F212" s="69" t="s">
        <v>186</v>
      </c>
      <c r="G212" s="70" t="s">
        <v>156</v>
      </c>
      <c r="H212" s="69" t="s">
        <v>187</v>
      </c>
      <c r="I212" s="69" t="s">
        <v>188</v>
      </c>
      <c r="J212" s="69" t="s">
        <v>158</v>
      </c>
      <c r="K212" s="69" t="s">
        <v>159</v>
      </c>
      <c r="L212" s="69" t="s">
        <v>160</v>
      </c>
      <c r="M212" s="69" t="s">
        <v>161</v>
      </c>
      <c r="N212" s="69" t="s">
        <v>162</v>
      </c>
      <c r="O212" s="69" t="s">
        <v>163</v>
      </c>
      <c r="P212" s="69" t="s">
        <v>164</v>
      </c>
      <c r="Q212" s="69" t="s">
        <v>165</v>
      </c>
      <c r="R212" s="69" t="s">
        <v>166</v>
      </c>
      <c r="S212" s="69" t="s">
        <v>189</v>
      </c>
    </row>
    <row r="213" spans="1:19" x14ac:dyDescent="0.4">
      <c r="A213" s="57">
        <f>+A199+1</f>
        <v>16</v>
      </c>
      <c r="B213" s="57" t="str">
        <f>INDEX('sale resgister'!B:B,A213+1,1)</f>
        <v>RIN103097</v>
      </c>
      <c r="C213" s="71">
        <f>+VLOOKUP(B213,'sale resgister'!B:J,9,0)</f>
        <v>45986</v>
      </c>
      <c r="D213" s="79" t="str">
        <f>+VLOOKUP(B213,'sale resgister'!B:J,2,0)</f>
        <v>Batch 3</v>
      </c>
      <c r="E213" s="96">
        <f>IF(C213=0,0,VLOOKUP(B213,'sale resgister'!B:J,4,0))</f>
        <v>3.5009999999999999</v>
      </c>
      <c r="F213" s="71">
        <f>DATE(YEAR(C213),MONTH(C213)+1,1)</f>
        <v>45992</v>
      </c>
      <c r="G213" s="72">
        <f>E213</f>
        <v>3.5009999999999999</v>
      </c>
      <c r="H213" s="57">
        <f t="shared" ref="H213:H224" si="211">ROUND(+G213*$H$1,3)</f>
        <v>0.245</v>
      </c>
      <c r="I213" s="73">
        <f t="shared" ref="I213:I224" si="212">IFERROR(+VLOOKUP(F213,$W$3:$X$15,2,0),0)</f>
        <v>13220</v>
      </c>
      <c r="J213" s="74">
        <v>22</v>
      </c>
      <c r="K213" s="57">
        <f t="shared" ref="K213:K224" si="213">ROUND(+H213*97%,3)</f>
        <v>0.23799999999999999</v>
      </c>
      <c r="L213" s="75">
        <f t="shared" ref="L213:L224" si="214">(K213-H213*92%)*I213</f>
        <v>166.57199999999963</v>
      </c>
      <c r="M213" s="76">
        <f t="shared" ref="M213:M224" si="215">ROUND(I213*92%*H213,2)</f>
        <v>2979.79</v>
      </c>
      <c r="N213" s="76">
        <f t="shared" ref="N213:N224" si="216">ROUND(+M213*0.11,2)</f>
        <v>327.78</v>
      </c>
      <c r="O213" s="77">
        <f t="shared" ref="O213:O224" si="217">+N213-L213</f>
        <v>161.20800000000034</v>
      </c>
      <c r="P213" s="77">
        <f t="shared" ref="P213:P224" si="218">ROUND(+O213*15%,2)</f>
        <v>24.18</v>
      </c>
      <c r="Q213" s="76">
        <f t="shared" ref="Q213:Q224" si="219">ROUND(+(O213-P213)*60%,2)</f>
        <v>82.22</v>
      </c>
      <c r="R213" s="76">
        <f t="shared" ref="R213:R224" si="220">ROUND(+(O213-P213)*40%,2)</f>
        <v>54.81</v>
      </c>
      <c r="S213" s="57">
        <f t="shared" ref="S213:S224" si="221">IFERROR(ROUND(+Q213/(I213/92%),3),0)</f>
        <v>6.0000000000000001E-3</v>
      </c>
    </row>
    <row r="214" spans="1:19" x14ac:dyDescent="0.4">
      <c r="A214" s="57"/>
      <c r="B214" s="57" t="str">
        <f t="shared" ref="B214:B224" si="222">+B213</f>
        <v>RIN103097</v>
      </c>
      <c r="C214" s="57"/>
      <c r="D214" s="57"/>
      <c r="E214" s="57"/>
      <c r="F214" s="71">
        <f t="shared" ref="F214:F224" si="223">IF(+DATE(YEAR(F213),MONTH(F213)+1,1)&gt;$G$1+1,0,+DATE(YEAR(F213),MONTH(F213)+1,1))</f>
        <v>46023</v>
      </c>
      <c r="G214" s="72">
        <f t="shared" ref="G214:G224" si="224">ROUND(IF(F214=0,0,(G213+S213)),3)</f>
        <v>3.5070000000000001</v>
      </c>
      <c r="H214" s="57">
        <f t="shared" si="211"/>
        <v>0.245</v>
      </c>
      <c r="I214" s="73">
        <f t="shared" si="212"/>
        <v>13790</v>
      </c>
      <c r="J214" s="74">
        <v>22</v>
      </c>
      <c r="K214" s="57">
        <f t="shared" si="213"/>
        <v>0.23799999999999999</v>
      </c>
      <c r="L214" s="75">
        <f t="shared" si="214"/>
        <v>173.75399999999962</v>
      </c>
      <c r="M214" s="76">
        <f t="shared" si="215"/>
        <v>3108.27</v>
      </c>
      <c r="N214" s="76">
        <f t="shared" si="216"/>
        <v>341.91</v>
      </c>
      <c r="O214" s="77">
        <f t="shared" si="217"/>
        <v>168.1560000000004</v>
      </c>
      <c r="P214" s="77">
        <f t="shared" si="218"/>
        <v>25.22</v>
      </c>
      <c r="Q214" s="76">
        <f t="shared" si="219"/>
        <v>85.76</v>
      </c>
      <c r="R214" s="76">
        <f t="shared" si="220"/>
        <v>57.17</v>
      </c>
      <c r="S214" s="57">
        <f t="shared" si="221"/>
        <v>6.0000000000000001E-3</v>
      </c>
    </row>
    <row r="215" spans="1:19" x14ac:dyDescent="0.4">
      <c r="A215" s="57"/>
      <c r="B215" s="57" t="str">
        <f t="shared" si="222"/>
        <v>RIN103097</v>
      </c>
      <c r="C215" s="57"/>
      <c r="D215" s="57"/>
      <c r="E215" s="71"/>
      <c r="F215" s="71">
        <f t="shared" si="223"/>
        <v>46054</v>
      </c>
      <c r="G215" s="72">
        <f t="shared" si="224"/>
        <v>3.5129999999999999</v>
      </c>
      <c r="H215" s="57">
        <f t="shared" si="211"/>
        <v>0.246</v>
      </c>
      <c r="I215" s="73">
        <f t="shared" si="212"/>
        <v>15760</v>
      </c>
      <c r="J215" s="74">
        <v>22</v>
      </c>
      <c r="K215" s="57">
        <f t="shared" si="213"/>
        <v>0.23899999999999999</v>
      </c>
      <c r="L215" s="75">
        <f t="shared" si="214"/>
        <v>199.83679999999995</v>
      </c>
      <c r="M215" s="76">
        <f t="shared" si="215"/>
        <v>3566.8</v>
      </c>
      <c r="N215" s="76">
        <f t="shared" si="216"/>
        <v>392.35</v>
      </c>
      <c r="O215" s="77">
        <f t="shared" si="217"/>
        <v>192.51320000000007</v>
      </c>
      <c r="P215" s="77">
        <f t="shared" si="218"/>
        <v>28.88</v>
      </c>
      <c r="Q215" s="76">
        <f t="shared" si="219"/>
        <v>98.18</v>
      </c>
      <c r="R215" s="76">
        <f t="shared" si="220"/>
        <v>65.45</v>
      </c>
      <c r="S215" s="57">
        <f t="shared" si="221"/>
        <v>6.0000000000000001E-3</v>
      </c>
    </row>
    <row r="216" spans="1:19" x14ac:dyDescent="0.4">
      <c r="A216" s="57"/>
      <c r="B216" s="57" t="str">
        <f t="shared" si="222"/>
        <v>RIN103097</v>
      </c>
      <c r="C216" s="57"/>
      <c r="D216" s="57"/>
      <c r="E216" s="57"/>
      <c r="F216" s="71">
        <f t="shared" si="223"/>
        <v>46082</v>
      </c>
      <c r="G216" s="72">
        <f t="shared" si="224"/>
        <v>3.5190000000000001</v>
      </c>
      <c r="H216" s="57">
        <f t="shared" si="211"/>
        <v>0.246</v>
      </c>
      <c r="I216" s="73">
        <f t="shared" si="212"/>
        <v>17200</v>
      </c>
      <c r="J216" s="74">
        <v>22</v>
      </c>
      <c r="K216" s="57">
        <f t="shared" si="213"/>
        <v>0.23899999999999999</v>
      </c>
      <c r="L216" s="75">
        <f t="shared" si="214"/>
        <v>218.09599999999995</v>
      </c>
      <c r="M216" s="76">
        <f t="shared" si="215"/>
        <v>3892.7</v>
      </c>
      <c r="N216" s="76">
        <f t="shared" si="216"/>
        <v>428.2</v>
      </c>
      <c r="O216" s="77">
        <f t="shared" si="217"/>
        <v>210.10400000000004</v>
      </c>
      <c r="P216" s="77">
        <f t="shared" si="218"/>
        <v>31.52</v>
      </c>
      <c r="Q216" s="76">
        <f t="shared" si="219"/>
        <v>107.15</v>
      </c>
      <c r="R216" s="76">
        <f t="shared" si="220"/>
        <v>71.430000000000007</v>
      </c>
      <c r="S216" s="57">
        <f t="shared" si="221"/>
        <v>6.0000000000000001E-3</v>
      </c>
    </row>
    <row r="217" spans="1:19" x14ac:dyDescent="0.4">
      <c r="A217" s="57"/>
      <c r="B217" s="57" t="str">
        <f t="shared" si="222"/>
        <v>RIN103097</v>
      </c>
      <c r="C217" s="71"/>
      <c r="D217" s="57"/>
      <c r="E217" s="57"/>
      <c r="F217" s="71">
        <f t="shared" si="223"/>
        <v>46113</v>
      </c>
      <c r="G217" s="72">
        <f t="shared" si="224"/>
        <v>3.5249999999999999</v>
      </c>
      <c r="H217" s="57">
        <f t="shared" si="211"/>
        <v>0.247</v>
      </c>
      <c r="I217" s="73">
        <f t="shared" si="212"/>
        <v>15450</v>
      </c>
      <c r="J217" s="74">
        <v>22</v>
      </c>
      <c r="K217" s="57">
        <f t="shared" si="213"/>
        <v>0.24</v>
      </c>
      <c r="L217" s="75">
        <f t="shared" si="214"/>
        <v>197.14199999999991</v>
      </c>
      <c r="M217" s="76">
        <f t="shared" si="215"/>
        <v>3510.86</v>
      </c>
      <c r="N217" s="76">
        <f t="shared" si="216"/>
        <v>386.19</v>
      </c>
      <c r="O217" s="77">
        <f t="shared" si="217"/>
        <v>189.04800000000009</v>
      </c>
      <c r="P217" s="77">
        <f t="shared" si="218"/>
        <v>28.36</v>
      </c>
      <c r="Q217" s="76">
        <f t="shared" si="219"/>
        <v>96.41</v>
      </c>
      <c r="R217" s="76">
        <f t="shared" si="220"/>
        <v>64.28</v>
      </c>
      <c r="S217" s="57">
        <f t="shared" si="221"/>
        <v>6.0000000000000001E-3</v>
      </c>
    </row>
    <row r="218" spans="1:19" x14ac:dyDescent="0.4">
      <c r="A218" s="57"/>
      <c r="B218" s="57" t="str">
        <f t="shared" si="222"/>
        <v>RIN103097</v>
      </c>
      <c r="C218" s="57"/>
      <c r="D218" s="57"/>
      <c r="E218" s="57"/>
      <c r="F218" s="71">
        <f t="shared" si="223"/>
        <v>0</v>
      </c>
      <c r="G218" s="72">
        <f t="shared" si="224"/>
        <v>0</v>
      </c>
      <c r="H218" s="57">
        <f t="shared" si="211"/>
        <v>0</v>
      </c>
      <c r="I218" s="73">
        <f t="shared" si="212"/>
        <v>0</v>
      </c>
      <c r="J218" s="74">
        <v>22</v>
      </c>
      <c r="K218" s="57">
        <f t="shared" si="213"/>
        <v>0</v>
      </c>
      <c r="L218" s="75">
        <f t="shared" si="214"/>
        <v>0</v>
      </c>
      <c r="M218" s="76">
        <f t="shared" si="215"/>
        <v>0</v>
      </c>
      <c r="N218" s="76">
        <f t="shared" si="216"/>
        <v>0</v>
      </c>
      <c r="O218" s="77">
        <f t="shared" si="217"/>
        <v>0</v>
      </c>
      <c r="P218" s="77">
        <f t="shared" si="218"/>
        <v>0</v>
      </c>
      <c r="Q218" s="76">
        <f t="shared" si="219"/>
        <v>0</v>
      </c>
      <c r="R218" s="76">
        <f t="shared" si="220"/>
        <v>0</v>
      </c>
      <c r="S218" s="57">
        <f t="shared" si="221"/>
        <v>0</v>
      </c>
    </row>
    <row r="219" spans="1:19" x14ac:dyDescent="0.4">
      <c r="A219" s="57"/>
      <c r="B219" s="57" t="str">
        <f t="shared" si="222"/>
        <v>RIN103097</v>
      </c>
      <c r="C219" s="57"/>
      <c r="D219" s="57"/>
      <c r="E219" s="57"/>
      <c r="F219" s="71">
        <f t="shared" si="223"/>
        <v>32</v>
      </c>
      <c r="G219" s="72">
        <f t="shared" si="224"/>
        <v>0</v>
      </c>
      <c r="H219" s="57">
        <f t="shared" si="211"/>
        <v>0</v>
      </c>
      <c r="I219" s="73">
        <f t="shared" si="212"/>
        <v>0</v>
      </c>
      <c r="J219" s="74">
        <v>22</v>
      </c>
      <c r="K219" s="57">
        <f t="shared" si="213"/>
        <v>0</v>
      </c>
      <c r="L219" s="75">
        <f t="shared" si="214"/>
        <v>0</v>
      </c>
      <c r="M219" s="76">
        <f t="shared" si="215"/>
        <v>0</v>
      </c>
      <c r="N219" s="76">
        <f t="shared" si="216"/>
        <v>0</v>
      </c>
      <c r="O219" s="77">
        <f t="shared" si="217"/>
        <v>0</v>
      </c>
      <c r="P219" s="77">
        <f t="shared" si="218"/>
        <v>0</v>
      </c>
      <c r="Q219" s="76">
        <f t="shared" si="219"/>
        <v>0</v>
      </c>
      <c r="R219" s="76">
        <f t="shared" si="220"/>
        <v>0</v>
      </c>
      <c r="S219" s="57">
        <f t="shared" si="221"/>
        <v>0</v>
      </c>
    </row>
    <row r="220" spans="1:19" x14ac:dyDescent="0.4">
      <c r="A220" s="57"/>
      <c r="B220" s="57" t="str">
        <f t="shared" si="222"/>
        <v>RIN103097</v>
      </c>
      <c r="C220" s="57"/>
      <c r="D220" s="79"/>
      <c r="E220" s="57"/>
      <c r="F220" s="71">
        <f t="shared" si="223"/>
        <v>61</v>
      </c>
      <c r="G220" s="72">
        <f t="shared" si="224"/>
        <v>0</v>
      </c>
      <c r="H220" s="57">
        <f t="shared" si="211"/>
        <v>0</v>
      </c>
      <c r="I220" s="73">
        <f t="shared" si="212"/>
        <v>0</v>
      </c>
      <c r="J220" s="74">
        <v>22</v>
      </c>
      <c r="K220" s="57">
        <f t="shared" si="213"/>
        <v>0</v>
      </c>
      <c r="L220" s="75">
        <f t="shared" si="214"/>
        <v>0</v>
      </c>
      <c r="M220" s="76">
        <f t="shared" si="215"/>
        <v>0</v>
      </c>
      <c r="N220" s="76">
        <f t="shared" si="216"/>
        <v>0</v>
      </c>
      <c r="O220" s="77">
        <f t="shared" si="217"/>
        <v>0</v>
      </c>
      <c r="P220" s="77">
        <f t="shared" si="218"/>
        <v>0</v>
      </c>
      <c r="Q220" s="76">
        <f t="shared" si="219"/>
        <v>0</v>
      </c>
      <c r="R220" s="76">
        <f t="shared" si="220"/>
        <v>0</v>
      </c>
      <c r="S220" s="57">
        <f t="shared" si="221"/>
        <v>0</v>
      </c>
    </row>
    <row r="221" spans="1:19" x14ac:dyDescent="0.4">
      <c r="A221" s="57"/>
      <c r="B221" s="57" t="str">
        <f t="shared" si="222"/>
        <v>RIN103097</v>
      </c>
      <c r="C221" s="57"/>
      <c r="D221" s="79"/>
      <c r="E221" s="57"/>
      <c r="F221" s="71">
        <f t="shared" si="223"/>
        <v>92</v>
      </c>
      <c r="G221" s="72">
        <f t="shared" si="224"/>
        <v>0</v>
      </c>
      <c r="H221" s="57">
        <f t="shared" si="211"/>
        <v>0</v>
      </c>
      <c r="I221" s="73">
        <f t="shared" si="212"/>
        <v>0</v>
      </c>
      <c r="J221" s="74">
        <v>22</v>
      </c>
      <c r="K221" s="57">
        <f t="shared" si="213"/>
        <v>0</v>
      </c>
      <c r="L221" s="75">
        <f t="shared" si="214"/>
        <v>0</v>
      </c>
      <c r="M221" s="76">
        <f t="shared" si="215"/>
        <v>0</v>
      </c>
      <c r="N221" s="76">
        <f t="shared" si="216"/>
        <v>0</v>
      </c>
      <c r="O221" s="77">
        <f t="shared" si="217"/>
        <v>0</v>
      </c>
      <c r="P221" s="77">
        <f t="shared" si="218"/>
        <v>0</v>
      </c>
      <c r="Q221" s="76">
        <f t="shared" si="219"/>
        <v>0</v>
      </c>
      <c r="R221" s="76">
        <f t="shared" si="220"/>
        <v>0</v>
      </c>
      <c r="S221" s="57">
        <f t="shared" si="221"/>
        <v>0</v>
      </c>
    </row>
    <row r="222" spans="1:19" x14ac:dyDescent="0.4">
      <c r="A222" s="57"/>
      <c r="B222" s="57" t="str">
        <f t="shared" si="222"/>
        <v>RIN103097</v>
      </c>
      <c r="C222" s="57"/>
      <c r="D222" s="57"/>
      <c r="E222" s="57"/>
      <c r="F222" s="71">
        <f t="shared" si="223"/>
        <v>122</v>
      </c>
      <c r="G222" s="72">
        <f t="shared" si="224"/>
        <v>0</v>
      </c>
      <c r="H222" s="57">
        <f t="shared" si="211"/>
        <v>0</v>
      </c>
      <c r="I222" s="73">
        <f t="shared" si="212"/>
        <v>0</v>
      </c>
      <c r="J222" s="74">
        <v>22</v>
      </c>
      <c r="K222" s="57">
        <f t="shared" si="213"/>
        <v>0</v>
      </c>
      <c r="L222" s="75">
        <f t="shared" si="214"/>
        <v>0</v>
      </c>
      <c r="M222" s="76">
        <f t="shared" si="215"/>
        <v>0</v>
      </c>
      <c r="N222" s="76">
        <f t="shared" si="216"/>
        <v>0</v>
      </c>
      <c r="O222" s="77">
        <f t="shared" si="217"/>
        <v>0</v>
      </c>
      <c r="P222" s="77">
        <f t="shared" si="218"/>
        <v>0</v>
      </c>
      <c r="Q222" s="76">
        <f t="shared" si="219"/>
        <v>0</v>
      </c>
      <c r="R222" s="76">
        <f t="shared" si="220"/>
        <v>0</v>
      </c>
      <c r="S222" s="57">
        <f t="shared" si="221"/>
        <v>0</v>
      </c>
    </row>
    <row r="223" spans="1:19" x14ac:dyDescent="0.4">
      <c r="A223" s="57"/>
      <c r="B223" s="57" t="str">
        <f t="shared" si="222"/>
        <v>RIN103097</v>
      </c>
      <c r="C223" s="57"/>
      <c r="D223" s="57"/>
      <c r="E223" s="57"/>
      <c r="F223" s="71">
        <f t="shared" si="223"/>
        <v>153</v>
      </c>
      <c r="G223" s="72">
        <f t="shared" si="224"/>
        <v>0</v>
      </c>
      <c r="H223" s="57">
        <f t="shared" si="211"/>
        <v>0</v>
      </c>
      <c r="I223" s="73">
        <f t="shared" si="212"/>
        <v>0</v>
      </c>
      <c r="J223" s="74">
        <v>22</v>
      </c>
      <c r="K223" s="57">
        <f t="shared" si="213"/>
        <v>0</v>
      </c>
      <c r="L223" s="75">
        <f t="shared" si="214"/>
        <v>0</v>
      </c>
      <c r="M223" s="76">
        <f t="shared" si="215"/>
        <v>0</v>
      </c>
      <c r="N223" s="76">
        <f t="shared" si="216"/>
        <v>0</v>
      </c>
      <c r="O223" s="77">
        <f t="shared" si="217"/>
        <v>0</v>
      </c>
      <c r="P223" s="77">
        <f t="shared" si="218"/>
        <v>0</v>
      </c>
      <c r="Q223" s="76">
        <f t="shared" si="219"/>
        <v>0</v>
      </c>
      <c r="R223" s="76">
        <f t="shared" si="220"/>
        <v>0</v>
      </c>
      <c r="S223" s="57">
        <f t="shared" si="221"/>
        <v>0</v>
      </c>
    </row>
    <row r="224" spans="1:19" x14ac:dyDescent="0.4">
      <c r="A224" s="57"/>
      <c r="B224" s="57" t="str">
        <f t="shared" si="222"/>
        <v>RIN103097</v>
      </c>
      <c r="C224" s="57"/>
      <c r="D224" s="57"/>
      <c r="E224" s="57"/>
      <c r="F224" s="71">
        <f t="shared" si="223"/>
        <v>183</v>
      </c>
      <c r="G224" s="72">
        <f t="shared" si="224"/>
        <v>0</v>
      </c>
      <c r="H224" s="57">
        <f t="shared" si="211"/>
        <v>0</v>
      </c>
      <c r="I224" s="73">
        <f t="shared" si="212"/>
        <v>0</v>
      </c>
      <c r="J224" s="74">
        <v>22</v>
      </c>
      <c r="K224" s="57">
        <f t="shared" si="213"/>
        <v>0</v>
      </c>
      <c r="L224" s="75">
        <f t="shared" si="214"/>
        <v>0</v>
      </c>
      <c r="M224" s="76">
        <f t="shared" si="215"/>
        <v>0</v>
      </c>
      <c r="N224" s="76">
        <f t="shared" si="216"/>
        <v>0</v>
      </c>
      <c r="O224" s="77">
        <f t="shared" si="217"/>
        <v>0</v>
      </c>
      <c r="P224" s="77">
        <f t="shared" si="218"/>
        <v>0</v>
      </c>
      <c r="Q224" s="76">
        <f t="shared" si="219"/>
        <v>0</v>
      </c>
      <c r="R224" s="76">
        <f t="shared" si="220"/>
        <v>0</v>
      </c>
      <c r="S224" s="57">
        <f t="shared" si="221"/>
        <v>0</v>
      </c>
    </row>
    <row r="225" spans="1:19" x14ac:dyDescent="0.4">
      <c r="B225" s="57"/>
    </row>
    <row r="226" spans="1:19" ht="123" customHeight="1" x14ac:dyDescent="0.4">
      <c r="A226" s="69" t="s">
        <v>11</v>
      </c>
      <c r="B226" s="69" t="s">
        <v>11</v>
      </c>
      <c r="C226" s="69" t="s">
        <v>155</v>
      </c>
      <c r="D226" s="69" t="s">
        <v>158</v>
      </c>
      <c r="E226" s="69" t="s">
        <v>185</v>
      </c>
      <c r="F226" s="69" t="s">
        <v>186</v>
      </c>
      <c r="G226" s="70" t="s">
        <v>156</v>
      </c>
      <c r="H226" s="69" t="s">
        <v>187</v>
      </c>
      <c r="I226" s="69" t="s">
        <v>188</v>
      </c>
      <c r="J226" s="69" t="s">
        <v>158</v>
      </c>
      <c r="K226" s="69" t="s">
        <v>159</v>
      </c>
      <c r="L226" s="69" t="s">
        <v>160</v>
      </c>
      <c r="M226" s="69" t="s">
        <v>161</v>
      </c>
      <c r="N226" s="69" t="s">
        <v>162</v>
      </c>
      <c r="O226" s="69" t="s">
        <v>163</v>
      </c>
      <c r="P226" s="69" t="s">
        <v>164</v>
      </c>
      <c r="Q226" s="69" t="s">
        <v>165</v>
      </c>
      <c r="R226" s="69" t="s">
        <v>166</v>
      </c>
      <c r="S226" s="69" t="s">
        <v>189</v>
      </c>
    </row>
    <row r="227" spans="1:19" x14ac:dyDescent="0.4">
      <c r="A227" s="57">
        <f>+A213+1</f>
        <v>17</v>
      </c>
      <c r="B227" s="57" t="str">
        <f>INDEX('sale resgister'!B:B,A227+1,1)</f>
        <v>BAN2025</v>
      </c>
      <c r="C227" s="71">
        <f>+VLOOKUP(B227,'sale resgister'!B:J,9,0)</f>
        <v>0</v>
      </c>
      <c r="D227" s="79" t="str">
        <f>+VLOOKUP(B227,'sale resgister'!B:J,2,0)</f>
        <v>Batch 3</v>
      </c>
      <c r="E227" s="96">
        <f>IF(C227=0,0,VLOOKUP(B227,'sale resgister'!B:J,4,0))</f>
        <v>0</v>
      </c>
      <c r="F227" s="71">
        <f>DATE(YEAR(C227),MONTH(C227)+1,1)</f>
        <v>32</v>
      </c>
      <c r="G227" s="72">
        <f>E227</f>
        <v>0</v>
      </c>
      <c r="H227" s="57">
        <f t="shared" ref="H227:H238" si="225">ROUND(+G227*$H$1,3)</f>
        <v>0</v>
      </c>
      <c r="I227" s="73">
        <f t="shared" ref="I227:I238" si="226">IFERROR(+VLOOKUP(F227,$W$3:$X$15,2,0),0)</f>
        <v>0</v>
      </c>
      <c r="J227" s="74">
        <v>22</v>
      </c>
      <c r="K227" s="57">
        <f t="shared" ref="K227:K238" si="227">ROUND(+H227*97%,3)</f>
        <v>0</v>
      </c>
      <c r="L227" s="75">
        <f t="shared" ref="L227:L238" si="228">(K227-H227*92%)*I227</f>
        <v>0</v>
      </c>
      <c r="M227" s="76">
        <f t="shared" ref="M227:M238" si="229">ROUND(I227*92%*H227,2)</f>
        <v>0</v>
      </c>
      <c r="N227" s="76">
        <f t="shared" ref="N227:N238" si="230">ROUND(+M227*0.11,2)</f>
        <v>0</v>
      </c>
      <c r="O227" s="77">
        <f t="shared" ref="O227:O238" si="231">+N227-L227</f>
        <v>0</v>
      </c>
      <c r="P227" s="77">
        <f t="shared" ref="P227:P238" si="232">ROUND(+O227*15%,2)</f>
        <v>0</v>
      </c>
      <c r="Q227" s="76">
        <f t="shared" ref="Q227:Q238" si="233">ROUND(+(O227-P227)*60%,2)</f>
        <v>0</v>
      </c>
      <c r="R227" s="76">
        <f t="shared" ref="R227:R238" si="234">ROUND(+(O227-P227)*40%,2)</f>
        <v>0</v>
      </c>
      <c r="S227" s="57">
        <f t="shared" ref="S227:S238" si="235">IFERROR(ROUND(+Q227/(I227/92%),3),0)</f>
        <v>0</v>
      </c>
    </row>
    <row r="228" spans="1:19" x14ac:dyDescent="0.4">
      <c r="A228" s="57"/>
      <c r="B228" s="57" t="str">
        <f t="shared" ref="B228:B238" si="236">+B227</f>
        <v>BAN2025</v>
      </c>
      <c r="C228" s="57"/>
      <c r="D228" s="57"/>
      <c r="E228" s="57"/>
      <c r="F228" s="71">
        <f t="shared" ref="F228:F238" si="237">IF(+DATE(YEAR(F227),MONTH(F227)+1,1)&gt;$G$1+1,0,+DATE(YEAR(F227),MONTH(F227)+1,1))</f>
        <v>61</v>
      </c>
      <c r="G228" s="72">
        <f t="shared" ref="G228:G238" si="238">ROUND(IF(F228=0,0,(G227+S227)),3)</f>
        <v>0</v>
      </c>
      <c r="H228" s="57">
        <f t="shared" si="225"/>
        <v>0</v>
      </c>
      <c r="I228" s="73">
        <f t="shared" si="226"/>
        <v>0</v>
      </c>
      <c r="J228" s="74">
        <v>22</v>
      </c>
      <c r="K228" s="57">
        <f t="shared" si="227"/>
        <v>0</v>
      </c>
      <c r="L228" s="75">
        <f t="shared" si="228"/>
        <v>0</v>
      </c>
      <c r="M228" s="76">
        <f t="shared" si="229"/>
        <v>0</v>
      </c>
      <c r="N228" s="76">
        <f t="shared" si="230"/>
        <v>0</v>
      </c>
      <c r="O228" s="77">
        <f t="shared" si="231"/>
        <v>0</v>
      </c>
      <c r="P228" s="77">
        <f t="shared" si="232"/>
        <v>0</v>
      </c>
      <c r="Q228" s="76">
        <f t="shared" si="233"/>
        <v>0</v>
      </c>
      <c r="R228" s="76">
        <f t="shared" si="234"/>
        <v>0</v>
      </c>
      <c r="S228" s="57">
        <f t="shared" si="235"/>
        <v>0</v>
      </c>
    </row>
    <row r="229" spans="1:19" x14ac:dyDescent="0.4">
      <c r="A229" s="57"/>
      <c r="B229" s="57" t="str">
        <f t="shared" si="236"/>
        <v>BAN2025</v>
      </c>
      <c r="C229" s="57"/>
      <c r="D229" s="57"/>
      <c r="E229" s="71"/>
      <c r="F229" s="71">
        <f t="shared" si="237"/>
        <v>92</v>
      </c>
      <c r="G229" s="72">
        <f t="shared" si="238"/>
        <v>0</v>
      </c>
      <c r="H229" s="57">
        <f t="shared" si="225"/>
        <v>0</v>
      </c>
      <c r="I229" s="73">
        <f t="shared" si="226"/>
        <v>0</v>
      </c>
      <c r="J229" s="74">
        <v>22</v>
      </c>
      <c r="K229" s="57">
        <f t="shared" si="227"/>
        <v>0</v>
      </c>
      <c r="L229" s="75">
        <f t="shared" si="228"/>
        <v>0</v>
      </c>
      <c r="M229" s="76">
        <f t="shared" si="229"/>
        <v>0</v>
      </c>
      <c r="N229" s="76">
        <f t="shared" si="230"/>
        <v>0</v>
      </c>
      <c r="O229" s="77">
        <f t="shared" si="231"/>
        <v>0</v>
      </c>
      <c r="P229" s="77">
        <f t="shared" si="232"/>
        <v>0</v>
      </c>
      <c r="Q229" s="76">
        <f t="shared" si="233"/>
        <v>0</v>
      </c>
      <c r="R229" s="76">
        <f t="shared" si="234"/>
        <v>0</v>
      </c>
      <c r="S229" s="57">
        <f t="shared" si="235"/>
        <v>0</v>
      </c>
    </row>
    <row r="230" spans="1:19" x14ac:dyDescent="0.4">
      <c r="A230" s="57"/>
      <c r="B230" s="57" t="str">
        <f t="shared" si="236"/>
        <v>BAN2025</v>
      </c>
      <c r="C230" s="57"/>
      <c r="D230" s="57"/>
      <c r="E230" s="57"/>
      <c r="F230" s="71">
        <f t="shared" si="237"/>
        <v>122</v>
      </c>
      <c r="G230" s="72">
        <f t="shared" si="238"/>
        <v>0</v>
      </c>
      <c r="H230" s="57">
        <f t="shared" si="225"/>
        <v>0</v>
      </c>
      <c r="I230" s="73">
        <f t="shared" si="226"/>
        <v>0</v>
      </c>
      <c r="J230" s="74">
        <v>22</v>
      </c>
      <c r="K230" s="57">
        <f t="shared" si="227"/>
        <v>0</v>
      </c>
      <c r="L230" s="75">
        <f t="shared" si="228"/>
        <v>0</v>
      </c>
      <c r="M230" s="76">
        <f t="shared" si="229"/>
        <v>0</v>
      </c>
      <c r="N230" s="76">
        <f t="shared" si="230"/>
        <v>0</v>
      </c>
      <c r="O230" s="77">
        <f t="shared" si="231"/>
        <v>0</v>
      </c>
      <c r="P230" s="77">
        <f t="shared" si="232"/>
        <v>0</v>
      </c>
      <c r="Q230" s="76">
        <f t="shared" si="233"/>
        <v>0</v>
      </c>
      <c r="R230" s="76">
        <f t="shared" si="234"/>
        <v>0</v>
      </c>
      <c r="S230" s="57">
        <f t="shared" si="235"/>
        <v>0</v>
      </c>
    </row>
    <row r="231" spans="1:19" x14ac:dyDescent="0.4">
      <c r="A231" s="57"/>
      <c r="B231" s="57" t="str">
        <f t="shared" si="236"/>
        <v>BAN2025</v>
      </c>
      <c r="C231" s="71"/>
      <c r="D231" s="57"/>
      <c r="E231" s="57"/>
      <c r="F231" s="71">
        <f t="shared" si="237"/>
        <v>153</v>
      </c>
      <c r="G231" s="72">
        <f t="shared" si="238"/>
        <v>0</v>
      </c>
      <c r="H231" s="57">
        <f t="shared" si="225"/>
        <v>0</v>
      </c>
      <c r="I231" s="73">
        <f t="shared" si="226"/>
        <v>0</v>
      </c>
      <c r="J231" s="74">
        <v>22</v>
      </c>
      <c r="K231" s="57">
        <f t="shared" si="227"/>
        <v>0</v>
      </c>
      <c r="L231" s="75">
        <f t="shared" si="228"/>
        <v>0</v>
      </c>
      <c r="M231" s="76">
        <f t="shared" si="229"/>
        <v>0</v>
      </c>
      <c r="N231" s="76">
        <f t="shared" si="230"/>
        <v>0</v>
      </c>
      <c r="O231" s="77">
        <f t="shared" si="231"/>
        <v>0</v>
      </c>
      <c r="P231" s="77">
        <f t="shared" si="232"/>
        <v>0</v>
      </c>
      <c r="Q231" s="76">
        <f t="shared" si="233"/>
        <v>0</v>
      </c>
      <c r="R231" s="76">
        <f t="shared" si="234"/>
        <v>0</v>
      </c>
      <c r="S231" s="57">
        <f t="shared" si="235"/>
        <v>0</v>
      </c>
    </row>
    <row r="232" spans="1:19" x14ac:dyDescent="0.4">
      <c r="A232" s="57"/>
      <c r="B232" s="57" t="str">
        <f t="shared" si="236"/>
        <v>BAN2025</v>
      </c>
      <c r="C232" s="57"/>
      <c r="D232" s="57"/>
      <c r="E232" s="57"/>
      <c r="F232" s="71">
        <f t="shared" si="237"/>
        <v>183</v>
      </c>
      <c r="G232" s="72">
        <f t="shared" si="238"/>
        <v>0</v>
      </c>
      <c r="H232" s="57">
        <f t="shared" si="225"/>
        <v>0</v>
      </c>
      <c r="I232" s="73">
        <f t="shared" si="226"/>
        <v>0</v>
      </c>
      <c r="J232" s="74">
        <v>22</v>
      </c>
      <c r="K232" s="57">
        <f t="shared" si="227"/>
        <v>0</v>
      </c>
      <c r="L232" s="75">
        <f t="shared" si="228"/>
        <v>0</v>
      </c>
      <c r="M232" s="76">
        <f t="shared" si="229"/>
        <v>0</v>
      </c>
      <c r="N232" s="76">
        <f t="shared" si="230"/>
        <v>0</v>
      </c>
      <c r="O232" s="77">
        <f t="shared" si="231"/>
        <v>0</v>
      </c>
      <c r="P232" s="77">
        <f t="shared" si="232"/>
        <v>0</v>
      </c>
      <c r="Q232" s="76">
        <f t="shared" si="233"/>
        <v>0</v>
      </c>
      <c r="R232" s="76">
        <f t="shared" si="234"/>
        <v>0</v>
      </c>
      <c r="S232" s="57">
        <f t="shared" si="235"/>
        <v>0</v>
      </c>
    </row>
    <row r="233" spans="1:19" x14ac:dyDescent="0.4">
      <c r="A233" s="57"/>
      <c r="B233" s="57" t="str">
        <f t="shared" si="236"/>
        <v>BAN2025</v>
      </c>
      <c r="C233" s="57"/>
      <c r="D233" s="57"/>
      <c r="E233" s="57"/>
      <c r="F233" s="71">
        <f t="shared" si="237"/>
        <v>214</v>
      </c>
      <c r="G233" s="72">
        <f t="shared" si="238"/>
        <v>0</v>
      </c>
      <c r="H233" s="57">
        <f t="shared" si="225"/>
        <v>0</v>
      </c>
      <c r="I233" s="73">
        <f t="shared" si="226"/>
        <v>0</v>
      </c>
      <c r="J233" s="74">
        <v>22</v>
      </c>
      <c r="K233" s="57">
        <f t="shared" si="227"/>
        <v>0</v>
      </c>
      <c r="L233" s="75">
        <f t="shared" si="228"/>
        <v>0</v>
      </c>
      <c r="M233" s="76">
        <f t="shared" si="229"/>
        <v>0</v>
      </c>
      <c r="N233" s="76">
        <f t="shared" si="230"/>
        <v>0</v>
      </c>
      <c r="O233" s="77">
        <f t="shared" si="231"/>
        <v>0</v>
      </c>
      <c r="P233" s="77">
        <f t="shared" si="232"/>
        <v>0</v>
      </c>
      <c r="Q233" s="76">
        <f t="shared" si="233"/>
        <v>0</v>
      </c>
      <c r="R233" s="76">
        <f t="shared" si="234"/>
        <v>0</v>
      </c>
      <c r="S233" s="57">
        <f t="shared" si="235"/>
        <v>0</v>
      </c>
    </row>
    <row r="234" spans="1:19" x14ac:dyDescent="0.4">
      <c r="A234" s="57"/>
      <c r="B234" s="57" t="str">
        <f t="shared" si="236"/>
        <v>BAN2025</v>
      </c>
      <c r="C234" s="57"/>
      <c r="D234" s="79"/>
      <c r="E234" s="57"/>
      <c r="F234" s="71">
        <f t="shared" si="237"/>
        <v>245</v>
      </c>
      <c r="G234" s="72">
        <f t="shared" si="238"/>
        <v>0</v>
      </c>
      <c r="H234" s="57">
        <f t="shared" si="225"/>
        <v>0</v>
      </c>
      <c r="I234" s="73">
        <f t="shared" si="226"/>
        <v>0</v>
      </c>
      <c r="J234" s="74">
        <v>22</v>
      </c>
      <c r="K234" s="57">
        <f t="shared" si="227"/>
        <v>0</v>
      </c>
      <c r="L234" s="75">
        <f t="shared" si="228"/>
        <v>0</v>
      </c>
      <c r="M234" s="76">
        <f t="shared" si="229"/>
        <v>0</v>
      </c>
      <c r="N234" s="76">
        <f t="shared" si="230"/>
        <v>0</v>
      </c>
      <c r="O234" s="77">
        <f t="shared" si="231"/>
        <v>0</v>
      </c>
      <c r="P234" s="77">
        <f t="shared" si="232"/>
        <v>0</v>
      </c>
      <c r="Q234" s="76">
        <f t="shared" si="233"/>
        <v>0</v>
      </c>
      <c r="R234" s="76">
        <f t="shared" si="234"/>
        <v>0</v>
      </c>
      <c r="S234" s="57">
        <f t="shared" si="235"/>
        <v>0</v>
      </c>
    </row>
    <row r="235" spans="1:19" x14ac:dyDescent="0.4">
      <c r="A235" s="57"/>
      <c r="B235" s="57" t="str">
        <f t="shared" si="236"/>
        <v>BAN2025</v>
      </c>
      <c r="C235" s="57"/>
      <c r="D235" s="79"/>
      <c r="E235" s="57"/>
      <c r="F235" s="71">
        <f t="shared" si="237"/>
        <v>275</v>
      </c>
      <c r="G235" s="72">
        <f t="shared" si="238"/>
        <v>0</v>
      </c>
      <c r="H235" s="57">
        <f t="shared" si="225"/>
        <v>0</v>
      </c>
      <c r="I235" s="73">
        <f t="shared" si="226"/>
        <v>0</v>
      </c>
      <c r="J235" s="74">
        <v>22</v>
      </c>
      <c r="K235" s="57">
        <f t="shared" si="227"/>
        <v>0</v>
      </c>
      <c r="L235" s="75">
        <f t="shared" si="228"/>
        <v>0</v>
      </c>
      <c r="M235" s="76">
        <f t="shared" si="229"/>
        <v>0</v>
      </c>
      <c r="N235" s="76">
        <f t="shared" si="230"/>
        <v>0</v>
      </c>
      <c r="O235" s="77">
        <f t="shared" si="231"/>
        <v>0</v>
      </c>
      <c r="P235" s="77">
        <f t="shared" si="232"/>
        <v>0</v>
      </c>
      <c r="Q235" s="76">
        <f t="shared" si="233"/>
        <v>0</v>
      </c>
      <c r="R235" s="76">
        <f t="shared" si="234"/>
        <v>0</v>
      </c>
      <c r="S235" s="57">
        <f t="shared" si="235"/>
        <v>0</v>
      </c>
    </row>
    <row r="236" spans="1:19" x14ac:dyDescent="0.4">
      <c r="A236" s="57"/>
      <c r="B236" s="57" t="str">
        <f t="shared" si="236"/>
        <v>BAN2025</v>
      </c>
      <c r="C236" s="57"/>
      <c r="D236" s="57"/>
      <c r="E236" s="57"/>
      <c r="F236" s="71">
        <f t="shared" si="237"/>
        <v>306</v>
      </c>
      <c r="G236" s="72">
        <f t="shared" si="238"/>
        <v>0</v>
      </c>
      <c r="H236" s="57">
        <f t="shared" si="225"/>
        <v>0</v>
      </c>
      <c r="I236" s="73">
        <f t="shared" si="226"/>
        <v>0</v>
      </c>
      <c r="J236" s="74">
        <v>22</v>
      </c>
      <c r="K236" s="57">
        <f t="shared" si="227"/>
        <v>0</v>
      </c>
      <c r="L236" s="75">
        <f t="shared" si="228"/>
        <v>0</v>
      </c>
      <c r="M236" s="76">
        <f t="shared" si="229"/>
        <v>0</v>
      </c>
      <c r="N236" s="76">
        <f t="shared" si="230"/>
        <v>0</v>
      </c>
      <c r="O236" s="77">
        <f t="shared" si="231"/>
        <v>0</v>
      </c>
      <c r="P236" s="77">
        <f t="shared" si="232"/>
        <v>0</v>
      </c>
      <c r="Q236" s="76">
        <f t="shared" si="233"/>
        <v>0</v>
      </c>
      <c r="R236" s="76">
        <f t="shared" si="234"/>
        <v>0</v>
      </c>
      <c r="S236" s="57">
        <f t="shared" si="235"/>
        <v>0</v>
      </c>
    </row>
    <row r="237" spans="1:19" x14ac:dyDescent="0.4">
      <c r="A237" s="57"/>
      <c r="B237" s="57" t="str">
        <f t="shared" si="236"/>
        <v>BAN2025</v>
      </c>
      <c r="C237" s="57"/>
      <c r="D237" s="57"/>
      <c r="E237" s="57"/>
      <c r="F237" s="71">
        <f t="shared" si="237"/>
        <v>336</v>
      </c>
      <c r="G237" s="72">
        <f t="shared" si="238"/>
        <v>0</v>
      </c>
      <c r="H237" s="57">
        <f t="shared" si="225"/>
        <v>0</v>
      </c>
      <c r="I237" s="73">
        <f t="shared" si="226"/>
        <v>0</v>
      </c>
      <c r="J237" s="74">
        <v>22</v>
      </c>
      <c r="K237" s="57">
        <f t="shared" si="227"/>
        <v>0</v>
      </c>
      <c r="L237" s="75">
        <f t="shared" si="228"/>
        <v>0</v>
      </c>
      <c r="M237" s="76">
        <f t="shared" si="229"/>
        <v>0</v>
      </c>
      <c r="N237" s="76">
        <f t="shared" si="230"/>
        <v>0</v>
      </c>
      <c r="O237" s="77">
        <f t="shared" si="231"/>
        <v>0</v>
      </c>
      <c r="P237" s="77">
        <f t="shared" si="232"/>
        <v>0</v>
      </c>
      <c r="Q237" s="76">
        <f t="shared" si="233"/>
        <v>0</v>
      </c>
      <c r="R237" s="76">
        <f t="shared" si="234"/>
        <v>0</v>
      </c>
      <c r="S237" s="57">
        <f t="shared" si="235"/>
        <v>0</v>
      </c>
    </row>
    <row r="238" spans="1:19" x14ac:dyDescent="0.4">
      <c r="A238" s="57"/>
      <c r="B238" s="57" t="str">
        <f t="shared" si="236"/>
        <v>BAN2025</v>
      </c>
      <c r="C238" s="57"/>
      <c r="D238" s="57"/>
      <c r="E238" s="57"/>
      <c r="F238" s="71">
        <f t="shared" si="237"/>
        <v>367</v>
      </c>
      <c r="G238" s="72">
        <f t="shared" si="238"/>
        <v>0</v>
      </c>
      <c r="H238" s="57">
        <f t="shared" si="225"/>
        <v>0</v>
      </c>
      <c r="I238" s="73">
        <f t="shared" si="226"/>
        <v>0</v>
      </c>
      <c r="J238" s="74">
        <v>22</v>
      </c>
      <c r="K238" s="57">
        <f t="shared" si="227"/>
        <v>0</v>
      </c>
      <c r="L238" s="75">
        <f t="shared" si="228"/>
        <v>0</v>
      </c>
      <c r="M238" s="76">
        <f t="shared" si="229"/>
        <v>0</v>
      </c>
      <c r="N238" s="76">
        <f t="shared" si="230"/>
        <v>0</v>
      </c>
      <c r="O238" s="77">
        <f t="shared" si="231"/>
        <v>0</v>
      </c>
      <c r="P238" s="77">
        <f t="shared" si="232"/>
        <v>0</v>
      </c>
      <c r="Q238" s="76">
        <f t="shared" si="233"/>
        <v>0</v>
      </c>
      <c r="R238" s="76">
        <f t="shared" si="234"/>
        <v>0</v>
      </c>
      <c r="S238" s="57">
        <f t="shared" si="235"/>
        <v>0</v>
      </c>
    </row>
    <row r="239" spans="1:19" x14ac:dyDescent="0.4">
      <c r="B239" s="57"/>
    </row>
    <row r="240" spans="1:19" ht="123" customHeight="1" x14ac:dyDescent="0.4">
      <c r="A240" s="69" t="s">
        <v>11</v>
      </c>
      <c r="B240" s="69" t="s">
        <v>11</v>
      </c>
      <c r="C240" s="69" t="s">
        <v>155</v>
      </c>
      <c r="D240" s="69" t="s">
        <v>158</v>
      </c>
      <c r="E240" s="69" t="s">
        <v>185</v>
      </c>
      <c r="F240" s="69" t="s">
        <v>186</v>
      </c>
      <c r="G240" s="70" t="s">
        <v>156</v>
      </c>
      <c r="H240" s="69" t="s">
        <v>187</v>
      </c>
      <c r="I240" s="69" t="s">
        <v>188</v>
      </c>
      <c r="J240" s="69" t="s">
        <v>158</v>
      </c>
      <c r="K240" s="69" t="s">
        <v>159</v>
      </c>
      <c r="L240" s="69" t="s">
        <v>160</v>
      </c>
      <c r="M240" s="69" t="s">
        <v>161</v>
      </c>
      <c r="N240" s="69" t="s">
        <v>162</v>
      </c>
      <c r="O240" s="69" t="s">
        <v>163</v>
      </c>
      <c r="P240" s="69" t="s">
        <v>164</v>
      </c>
      <c r="Q240" s="69" t="s">
        <v>165</v>
      </c>
      <c r="R240" s="69" t="s">
        <v>166</v>
      </c>
      <c r="S240" s="69" t="s">
        <v>189</v>
      </c>
    </row>
    <row r="241" spans="1:19" x14ac:dyDescent="0.4">
      <c r="A241" s="57">
        <f>+A227+1</f>
        <v>18</v>
      </c>
      <c r="B241" s="57" t="str">
        <f>INDEX('sale resgister'!B:B,A241+1,1)</f>
        <v>BAN2022</v>
      </c>
      <c r="C241" s="71">
        <f>+VLOOKUP(B241,'sale resgister'!B:J,9,0)</f>
        <v>0</v>
      </c>
      <c r="D241" s="79" t="str">
        <f>+VLOOKUP(B241,'sale resgister'!B:J,2,0)</f>
        <v>Batch 3</v>
      </c>
      <c r="E241" s="96">
        <f>IF(C241=0,0,VLOOKUP(B241,'sale resgister'!B:J,4,0))</f>
        <v>0</v>
      </c>
      <c r="F241" s="71">
        <f>DATE(YEAR(C241),MONTH(C241)+1,1)</f>
        <v>32</v>
      </c>
      <c r="G241" s="72">
        <f>E241</f>
        <v>0</v>
      </c>
      <c r="H241" s="57">
        <f t="shared" ref="H241:H252" si="239">ROUND(+G241*$H$1,3)</f>
        <v>0</v>
      </c>
      <c r="I241" s="73">
        <f t="shared" ref="I241:I252" si="240">IFERROR(+VLOOKUP(F241,$W$3:$X$15,2,0),0)</f>
        <v>0</v>
      </c>
      <c r="J241" s="74">
        <v>22</v>
      </c>
      <c r="K241" s="57">
        <f t="shared" ref="K241:K252" si="241">ROUND(+H241*97%,3)</f>
        <v>0</v>
      </c>
      <c r="L241" s="75">
        <f t="shared" ref="L241:L252" si="242">(K241-H241*92%)*I241</f>
        <v>0</v>
      </c>
      <c r="M241" s="76">
        <f t="shared" ref="M241:M252" si="243">ROUND(I241*J241/24*H241,2)</f>
        <v>0</v>
      </c>
      <c r="N241" s="76">
        <f t="shared" ref="N241:N252" si="244">ROUND(+M241*0.11,2)</f>
        <v>0</v>
      </c>
      <c r="O241" s="77">
        <f t="shared" ref="O241:O252" si="245">+N241-L241</f>
        <v>0</v>
      </c>
      <c r="P241" s="77">
        <f t="shared" ref="P241:P252" si="246">ROUND(+O241*15%,2)</f>
        <v>0</v>
      </c>
      <c r="Q241" s="76">
        <f t="shared" ref="Q241:Q252" si="247">ROUND(+(O241-P241)*60%,2)</f>
        <v>0</v>
      </c>
      <c r="R241" s="76">
        <f t="shared" ref="R241:R252" si="248">ROUND(+(O241-P241)*40%,2)</f>
        <v>0</v>
      </c>
      <c r="S241" s="57">
        <f t="shared" ref="S241:S252" si="249">IFERROR(ROUND(+Q241/(I241/92%),3),0)</f>
        <v>0</v>
      </c>
    </row>
    <row r="242" spans="1:19" x14ac:dyDescent="0.4">
      <c r="A242" s="57"/>
      <c r="B242" s="57" t="str">
        <f t="shared" ref="B242:B252" si="250">+B241</f>
        <v>BAN2022</v>
      </c>
      <c r="C242" s="57"/>
      <c r="D242" s="57"/>
      <c r="E242" s="57"/>
      <c r="F242" s="71">
        <f t="shared" ref="F242:F252" si="251">IF(+DATE(YEAR(F241),MONTH(F241)+1,1)&gt;$G$1+1,0,+DATE(YEAR(F241),MONTH(F241)+1,1))</f>
        <v>61</v>
      </c>
      <c r="G242" s="72">
        <f t="shared" ref="G242:G252" si="252">ROUND(IF(F242=0,0,(G241+S241)),3)</f>
        <v>0</v>
      </c>
      <c r="H242" s="57">
        <f t="shared" si="239"/>
        <v>0</v>
      </c>
      <c r="I242" s="73">
        <f t="shared" si="240"/>
        <v>0</v>
      </c>
      <c r="J242" s="74">
        <v>22</v>
      </c>
      <c r="K242" s="57">
        <f t="shared" si="241"/>
        <v>0</v>
      </c>
      <c r="L242" s="75">
        <f t="shared" si="242"/>
        <v>0</v>
      </c>
      <c r="M242" s="76">
        <f t="shared" si="243"/>
        <v>0</v>
      </c>
      <c r="N242" s="76">
        <f t="shared" si="244"/>
        <v>0</v>
      </c>
      <c r="O242" s="77">
        <f t="shared" si="245"/>
        <v>0</v>
      </c>
      <c r="P242" s="77">
        <f t="shared" si="246"/>
        <v>0</v>
      </c>
      <c r="Q242" s="76">
        <f t="shared" si="247"/>
        <v>0</v>
      </c>
      <c r="R242" s="76">
        <f t="shared" si="248"/>
        <v>0</v>
      </c>
      <c r="S242" s="57">
        <f t="shared" si="249"/>
        <v>0</v>
      </c>
    </row>
    <row r="243" spans="1:19" x14ac:dyDescent="0.4">
      <c r="A243" s="57"/>
      <c r="B243" s="57" t="str">
        <f t="shared" si="250"/>
        <v>BAN2022</v>
      </c>
      <c r="C243" s="57"/>
      <c r="D243" s="57"/>
      <c r="E243" s="71"/>
      <c r="F243" s="71">
        <f t="shared" si="251"/>
        <v>92</v>
      </c>
      <c r="G243" s="72">
        <f t="shared" si="252"/>
        <v>0</v>
      </c>
      <c r="H243" s="57">
        <f t="shared" si="239"/>
        <v>0</v>
      </c>
      <c r="I243" s="73">
        <f t="shared" si="240"/>
        <v>0</v>
      </c>
      <c r="J243" s="74">
        <v>22</v>
      </c>
      <c r="K243" s="57">
        <f t="shared" si="241"/>
        <v>0</v>
      </c>
      <c r="L243" s="75">
        <f t="shared" si="242"/>
        <v>0</v>
      </c>
      <c r="M243" s="76">
        <f t="shared" si="243"/>
        <v>0</v>
      </c>
      <c r="N243" s="76">
        <f t="shared" si="244"/>
        <v>0</v>
      </c>
      <c r="O243" s="77">
        <f t="shared" si="245"/>
        <v>0</v>
      </c>
      <c r="P243" s="77">
        <f t="shared" si="246"/>
        <v>0</v>
      </c>
      <c r="Q243" s="76">
        <f t="shared" si="247"/>
        <v>0</v>
      </c>
      <c r="R243" s="76">
        <f t="shared" si="248"/>
        <v>0</v>
      </c>
      <c r="S243" s="57">
        <f t="shared" si="249"/>
        <v>0</v>
      </c>
    </row>
    <row r="244" spans="1:19" x14ac:dyDescent="0.4">
      <c r="A244" s="57"/>
      <c r="B244" s="57" t="str">
        <f t="shared" si="250"/>
        <v>BAN2022</v>
      </c>
      <c r="C244" s="57"/>
      <c r="D244" s="57"/>
      <c r="E244" s="57"/>
      <c r="F244" s="71">
        <f t="shared" si="251"/>
        <v>122</v>
      </c>
      <c r="G244" s="72">
        <f t="shared" si="252"/>
        <v>0</v>
      </c>
      <c r="H244" s="57">
        <f t="shared" si="239"/>
        <v>0</v>
      </c>
      <c r="I244" s="73">
        <f t="shared" si="240"/>
        <v>0</v>
      </c>
      <c r="J244" s="74">
        <v>22</v>
      </c>
      <c r="K244" s="57">
        <f t="shared" si="241"/>
        <v>0</v>
      </c>
      <c r="L244" s="75">
        <f t="shared" si="242"/>
        <v>0</v>
      </c>
      <c r="M244" s="76">
        <f t="shared" si="243"/>
        <v>0</v>
      </c>
      <c r="N244" s="76">
        <f t="shared" si="244"/>
        <v>0</v>
      </c>
      <c r="O244" s="77">
        <f t="shared" si="245"/>
        <v>0</v>
      </c>
      <c r="P244" s="77">
        <f t="shared" si="246"/>
        <v>0</v>
      </c>
      <c r="Q244" s="76">
        <f t="shared" si="247"/>
        <v>0</v>
      </c>
      <c r="R244" s="76">
        <f t="shared" si="248"/>
        <v>0</v>
      </c>
      <c r="S244" s="57">
        <f t="shared" si="249"/>
        <v>0</v>
      </c>
    </row>
    <row r="245" spans="1:19" x14ac:dyDescent="0.4">
      <c r="A245" s="57"/>
      <c r="B245" s="57" t="str">
        <f t="shared" si="250"/>
        <v>BAN2022</v>
      </c>
      <c r="C245" s="71"/>
      <c r="D245" s="57"/>
      <c r="E245" s="57"/>
      <c r="F245" s="71">
        <f t="shared" si="251"/>
        <v>153</v>
      </c>
      <c r="G245" s="72">
        <f t="shared" si="252"/>
        <v>0</v>
      </c>
      <c r="H245" s="57">
        <f t="shared" si="239"/>
        <v>0</v>
      </c>
      <c r="I245" s="73">
        <f t="shared" si="240"/>
        <v>0</v>
      </c>
      <c r="J245" s="74">
        <v>22</v>
      </c>
      <c r="K245" s="57">
        <f t="shared" si="241"/>
        <v>0</v>
      </c>
      <c r="L245" s="75">
        <f t="shared" si="242"/>
        <v>0</v>
      </c>
      <c r="M245" s="76">
        <f t="shared" si="243"/>
        <v>0</v>
      </c>
      <c r="N245" s="76">
        <f t="shared" si="244"/>
        <v>0</v>
      </c>
      <c r="O245" s="77">
        <f t="shared" si="245"/>
        <v>0</v>
      </c>
      <c r="P245" s="77">
        <f t="shared" si="246"/>
        <v>0</v>
      </c>
      <c r="Q245" s="76">
        <f t="shared" si="247"/>
        <v>0</v>
      </c>
      <c r="R245" s="76">
        <f t="shared" si="248"/>
        <v>0</v>
      </c>
      <c r="S245" s="57">
        <f t="shared" si="249"/>
        <v>0</v>
      </c>
    </row>
    <row r="246" spans="1:19" x14ac:dyDescent="0.4">
      <c r="A246" s="57"/>
      <c r="B246" s="57" t="str">
        <f t="shared" si="250"/>
        <v>BAN2022</v>
      </c>
      <c r="C246" s="57"/>
      <c r="D246" s="57"/>
      <c r="E246" s="57"/>
      <c r="F246" s="71">
        <f t="shared" si="251"/>
        <v>183</v>
      </c>
      <c r="G246" s="72">
        <f t="shared" si="252"/>
        <v>0</v>
      </c>
      <c r="H246" s="57">
        <f t="shared" si="239"/>
        <v>0</v>
      </c>
      <c r="I246" s="73">
        <f t="shared" si="240"/>
        <v>0</v>
      </c>
      <c r="J246" s="74">
        <v>22</v>
      </c>
      <c r="K246" s="57">
        <f t="shared" si="241"/>
        <v>0</v>
      </c>
      <c r="L246" s="75">
        <f t="shared" si="242"/>
        <v>0</v>
      </c>
      <c r="M246" s="76">
        <f t="shared" si="243"/>
        <v>0</v>
      </c>
      <c r="N246" s="76">
        <f t="shared" si="244"/>
        <v>0</v>
      </c>
      <c r="O246" s="77">
        <f t="shared" si="245"/>
        <v>0</v>
      </c>
      <c r="P246" s="77">
        <f t="shared" si="246"/>
        <v>0</v>
      </c>
      <c r="Q246" s="76">
        <f t="shared" si="247"/>
        <v>0</v>
      </c>
      <c r="R246" s="76">
        <f t="shared" si="248"/>
        <v>0</v>
      </c>
      <c r="S246" s="57">
        <f t="shared" si="249"/>
        <v>0</v>
      </c>
    </row>
    <row r="247" spans="1:19" x14ac:dyDescent="0.4">
      <c r="A247" s="57"/>
      <c r="B247" s="57" t="str">
        <f t="shared" si="250"/>
        <v>BAN2022</v>
      </c>
      <c r="C247" s="57"/>
      <c r="D247" s="57"/>
      <c r="E247" s="57"/>
      <c r="F247" s="71">
        <f t="shared" si="251"/>
        <v>214</v>
      </c>
      <c r="G247" s="72">
        <f t="shared" si="252"/>
        <v>0</v>
      </c>
      <c r="H247" s="57">
        <f t="shared" si="239"/>
        <v>0</v>
      </c>
      <c r="I247" s="73">
        <f t="shared" si="240"/>
        <v>0</v>
      </c>
      <c r="J247" s="74">
        <v>22</v>
      </c>
      <c r="K247" s="57">
        <f t="shared" si="241"/>
        <v>0</v>
      </c>
      <c r="L247" s="75">
        <f t="shared" si="242"/>
        <v>0</v>
      </c>
      <c r="M247" s="76">
        <f t="shared" si="243"/>
        <v>0</v>
      </c>
      <c r="N247" s="76">
        <f t="shared" si="244"/>
        <v>0</v>
      </c>
      <c r="O247" s="77">
        <f t="shared" si="245"/>
        <v>0</v>
      </c>
      <c r="P247" s="77">
        <f t="shared" si="246"/>
        <v>0</v>
      </c>
      <c r="Q247" s="76">
        <f t="shared" si="247"/>
        <v>0</v>
      </c>
      <c r="R247" s="76">
        <f t="shared" si="248"/>
        <v>0</v>
      </c>
      <c r="S247" s="57">
        <f t="shared" si="249"/>
        <v>0</v>
      </c>
    </row>
    <row r="248" spans="1:19" x14ac:dyDescent="0.4">
      <c r="A248" s="57"/>
      <c r="B248" s="57" t="str">
        <f t="shared" si="250"/>
        <v>BAN2022</v>
      </c>
      <c r="C248" s="57"/>
      <c r="D248" s="79"/>
      <c r="E248" s="57"/>
      <c r="F248" s="71">
        <f t="shared" si="251"/>
        <v>245</v>
      </c>
      <c r="G248" s="72">
        <f t="shared" si="252"/>
        <v>0</v>
      </c>
      <c r="H248" s="57">
        <f t="shared" si="239"/>
        <v>0</v>
      </c>
      <c r="I248" s="73">
        <f t="shared" si="240"/>
        <v>0</v>
      </c>
      <c r="J248" s="74">
        <v>22</v>
      </c>
      <c r="K248" s="57">
        <f t="shared" si="241"/>
        <v>0</v>
      </c>
      <c r="L248" s="75">
        <f t="shared" si="242"/>
        <v>0</v>
      </c>
      <c r="M248" s="76">
        <f t="shared" si="243"/>
        <v>0</v>
      </c>
      <c r="N248" s="76">
        <f t="shared" si="244"/>
        <v>0</v>
      </c>
      <c r="O248" s="77">
        <f t="shared" si="245"/>
        <v>0</v>
      </c>
      <c r="P248" s="77">
        <f t="shared" si="246"/>
        <v>0</v>
      </c>
      <c r="Q248" s="76">
        <f t="shared" si="247"/>
        <v>0</v>
      </c>
      <c r="R248" s="76">
        <f t="shared" si="248"/>
        <v>0</v>
      </c>
      <c r="S248" s="57">
        <f t="shared" si="249"/>
        <v>0</v>
      </c>
    </row>
    <row r="249" spans="1:19" x14ac:dyDescent="0.4">
      <c r="A249" s="57"/>
      <c r="B249" s="57" t="str">
        <f t="shared" si="250"/>
        <v>BAN2022</v>
      </c>
      <c r="C249" s="57"/>
      <c r="D249" s="79"/>
      <c r="E249" s="57"/>
      <c r="F249" s="71">
        <f t="shared" si="251"/>
        <v>275</v>
      </c>
      <c r="G249" s="72">
        <f t="shared" si="252"/>
        <v>0</v>
      </c>
      <c r="H249" s="57">
        <f t="shared" si="239"/>
        <v>0</v>
      </c>
      <c r="I249" s="73">
        <f t="shared" si="240"/>
        <v>0</v>
      </c>
      <c r="J249" s="74">
        <v>22</v>
      </c>
      <c r="K249" s="57">
        <f t="shared" si="241"/>
        <v>0</v>
      </c>
      <c r="L249" s="75">
        <f t="shared" si="242"/>
        <v>0</v>
      </c>
      <c r="M249" s="76">
        <f t="shared" si="243"/>
        <v>0</v>
      </c>
      <c r="N249" s="76">
        <f t="shared" si="244"/>
        <v>0</v>
      </c>
      <c r="O249" s="77">
        <f t="shared" si="245"/>
        <v>0</v>
      </c>
      <c r="P249" s="77">
        <f t="shared" si="246"/>
        <v>0</v>
      </c>
      <c r="Q249" s="76">
        <f t="shared" si="247"/>
        <v>0</v>
      </c>
      <c r="R249" s="76">
        <f t="shared" si="248"/>
        <v>0</v>
      </c>
      <c r="S249" s="57">
        <f t="shared" si="249"/>
        <v>0</v>
      </c>
    </row>
    <row r="250" spans="1:19" x14ac:dyDescent="0.4">
      <c r="A250" s="57"/>
      <c r="B250" s="57" t="str">
        <f t="shared" si="250"/>
        <v>BAN2022</v>
      </c>
      <c r="C250" s="57"/>
      <c r="D250" s="57"/>
      <c r="E250" s="57"/>
      <c r="F250" s="71">
        <f t="shared" si="251"/>
        <v>306</v>
      </c>
      <c r="G250" s="72">
        <f t="shared" si="252"/>
        <v>0</v>
      </c>
      <c r="H250" s="57">
        <f t="shared" si="239"/>
        <v>0</v>
      </c>
      <c r="I250" s="73">
        <f t="shared" si="240"/>
        <v>0</v>
      </c>
      <c r="J250" s="74">
        <v>22</v>
      </c>
      <c r="K250" s="57">
        <f t="shared" si="241"/>
        <v>0</v>
      </c>
      <c r="L250" s="75">
        <f t="shared" si="242"/>
        <v>0</v>
      </c>
      <c r="M250" s="76">
        <f t="shared" si="243"/>
        <v>0</v>
      </c>
      <c r="N250" s="76">
        <f t="shared" si="244"/>
        <v>0</v>
      </c>
      <c r="O250" s="77">
        <f t="shared" si="245"/>
        <v>0</v>
      </c>
      <c r="P250" s="77">
        <f t="shared" si="246"/>
        <v>0</v>
      </c>
      <c r="Q250" s="76">
        <f t="shared" si="247"/>
        <v>0</v>
      </c>
      <c r="R250" s="76">
        <f t="shared" si="248"/>
        <v>0</v>
      </c>
      <c r="S250" s="57">
        <f t="shared" si="249"/>
        <v>0</v>
      </c>
    </row>
    <row r="251" spans="1:19" x14ac:dyDescent="0.4">
      <c r="A251" s="57"/>
      <c r="B251" s="57" t="str">
        <f t="shared" si="250"/>
        <v>BAN2022</v>
      </c>
      <c r="C251" s="57"/>
      <c r="D251" s="57"/>
      <c r="E251" s="57"/>
      <c r="F251" s="71">
        <f t="shared" si="251"/>
        <v>336</v>
      </c>
      <c r="G251" s="72">
        <f t="shared" si="252"/>
        <v>0</v>
      </c>
      <c r="H251" s="57">
        <f t="shared" si="239"/>
        <v>0</v>
      </c>
      <c r="I251" s="73">
        <f t="shared" si="240"/>
        <v>0</v>
      </c>
      <c r="J251" s="74">
        <v>22</v>
      </c>
      <c r="K251" s="57">
        <f t="shared" si="241"/>
        <v>0</v>
      </c>
      <c r="L251" s="75">
        <f t="shared" si="242"/>
        <v>0</v>
      </c>
      <c r="M251" s="76">
        <f t="shared" si="243"/>
        <v>0</v>
      </c>
      <c r="N251" s="76">
        <f t="shared" si="244"/>
        <v>0</v>
      </c>
      <c r="O251" s="77">
        <f t="shared" si="245"/>
        <v>0</v>
      </c>
      <c r="P251" s="77">
        <f t="shared" si="246"/>
        <v>0</v>
      </c>
      <c r="Q251" s="76">
        <f t="shared" si="247"/>
        <v>0</v>
      </c>
      <c r="R251" s="76">
        <f t="shared" si="248"/>
        <v>0</v>
      </c>
      <c r="S251" s="57">
        <f t="shared" si="249"/>
        <v>0</v>
      </c>
    </row>
    <row r="252" spans="1:19" x14ac:dyDescent="0.4">
      <c r="A252" s="57"/>
      <c r="B252" s="57" t="str">
        <f t="shared" si="250"/>
        <v>BAN2022</v>
      </c>
      <c r="C252" s="57"/>
      <c r="D252" s="57"/>
      <c r="E252" s="57"/>
      <c r="F252" s="71">
        <f t="shared" si="251"/>
        <v>367</v>
      </c>
      <c r="G252" s="72">
        <f t="shared" si="252"/>
        <v>0</v>
      </c>
      <c r="H252" s="57">
        <f t="shared" si="239"/>
        <v>0</v>
      </c>
      <c r="I252" s="73">
        <f t="shared" si="240"/>
        <v>0</v>
      </c>
      <c r="J252" s="74">
        <v>22</v>
      </c>
      <c r="K252" s="57">
        <f t="shared" si="241"/>
        <v>0</v>
      </c>
      <c r="L252" s="75">
        <f t="shared" si="242"/>
        <v>0</v>
      </c>
      <c r="M252" s="76">
        <f t="shared" si="243"/>
        <v>0</v>
      </c>
      <c r="N252" s="76">
        <f t="shared" si="244"/>
        <v>0</v>
      </c>
      <c r="O252" s="77">
        <f t="shared" si="245"/>
        <v>0</v>
      </c>
      <c r="P252" s="77">
        <f t="shared" si="246"/>
        <v>0</v>
      </c>
      <c r="Q252" s="76">
        <f t="shared" si="247"/>
        <v>0</v>
      </c>
      <c r="R252" s="76">
        <f t="shared" si="248"/>
        <v>0</v>
      </c>
      <c r="S252" s="57">
        <f t="shared" si="249"/>
        <v>0</v>
      </c>
    </row>
    <row r="253" spans="1:19" x14ac:dyDescent="0.4">
      <c r="B253" s="57"/>
    </row>
    <row r="254" spans="1:19" ht="123" customHeight="1" x14ac:dyDescent="0.4">
      <c r="A254" s="69" t="s">
        <v>11</v>
      </c>
      <c r="B254" s="69" t="s">
        <v>11</v>
      </c>
      <c r="C254" s="69" t="s">
        <v>155</v>
      </c>
      <c r="D254" s="69" t="s">
        <v>158</v>
      </c>
      <c r="E254" s="69" t="s">
        <v>185</v>
      </c>
      <c r="F254" s="69" t="s">
        <v>186</v>
      </c>
      <c r="G254" s="70" t="s">
        <v>156</v>
      </c>
      <c r="H254" s="69" t="s">
        <v>187</v>
      </c>
      <c r="I254" s="69" t="s">
        <v>188</v>
      </c>
      <c r="J254" s="69" t="s">
        <v>158</v>
      </c>
      <c r="K254" s="69" t="s">
        <v>159</v>
      </c>
      <c r="L254" s="69" t="s">
        <v>160</v>
      </c>
      <c r="M254" s="69" t="s">
        <v>161</v>
      </c>
      <c r="N254" s="69" t="s">
        <v>162</v>
      </c>
      <c r="O254" s="69" t="s">
        <v>163</v>
      </c>
      <c r="P254" s="69" t="s">
        <v>164</v>
      </c>
      <c r="Q254" s="69" t="s">
        <v>165</v>
      </c>
      <c r="R254" s="69" t="s">
        <v>166</v>
      </c>
      <c r="S254" s="69" t="s">
        <v>189</v>
      </c>
    </row>
    <row r="255" spans="1:19" x14ac:dyDescent="0.4">
      <c r="A255" s="57">
        <f>+A241+1</f>
        <v>19</v>
      </c>
      <c r="B255" s="57" t="str">
        <f>INDEX('sale resgister'!B:B,A255+1,1)</f>
        <v>BAN2023</v>
      </c>
      <c r="C255" s="71">
        <f>+VLOOKUP(B255,'sale resgister'!B:J,9,0)</f>
        <v>0</v>
      </c>
      <c r="D255" s="79" t="str">
        <f>+VLOOKUP(B255,'sale resgister'!B:J,2,0)</f>
        <v>Batch 3</v>
      </c>
      <c r="E255" s="96">
        <f>IF(C255=0,0,VLOOKUP(B255,'sale resgister'!B:J,4,0))</f>
        <v>0</v>
      </c>
      <c r="F255" s="71">
        <f>DATE(YEAR(C255),MONTH(C255)+1,1)</f>
        <v>32</v>
      </c>
      <c r="G255" s="72">
        <f>E255</f>
        <v>0</v>
      </c>
      <c r="H255" s="57">
        <f t="shared" ref="H255:H266" si="253">ROUND(+G255*$H$1,3)</f>
        <v>0</v>
      </c>
      <c r="I255" s="73">
        <f t="shared" ref="I255:I266" si="254">IFERROR(+VLOOKUP(F255,$W$3:$X$15,2,0),0)</f>
        <v>0</v>
      </c>
      <c r="J255" s="74">
        <v>22</v>
      </c>
      <c r="K255" s="57">
        <f t="shared" ref="K255:K266" si="255">ROUND(+H255*97%,3)</f>
        <v>0</v>
      </c>
      <c r="L255" s="75">
        <f t="shared" ref="L255:L266" si="256">(K255-H255*92%)*I255</f>
        <v>0</v>
      </c>
      <c r="M255" s="76">
        <f t="shared" ref="M255:M266" si="257">ROUND(I255*92%*H255,2)</f>
        <v>0</v>
      </c>
      <c r="N255" s="76">
        <f t="shared" ref="N255:N266" si="258">ROUND(+M255*0.11,2)</f>
        <v>0</v>
      </c>
      <c r="O255" s="77">
        <f t="shared" ref="O255:O266" si="259">+N255-L255</f>
        <v>0</v>
      </c>
      <c r="P255" s="77">
        <f t="shared" ref="P255:P266" si="260">ROUND(+O255*15%,2)</f>
        <v>0</v>
      </c>
      <c r="Q255" s="76">
        <f t="shared" ref="Q255:Q266" si="261">ROUND(+(O255-P255)*60%,2)</f>
        <v>0</v>
      </c>
      <c r="R255" s="76">
        <f t="shared" ref="R255:R266" si="262">ROUND(+(O255-P255)*40%,2)</f>
        <v>0</v>
      </c>
      <c r="S255" s="57">
        <f t="shared" ref="S255:S266" si="263">IFERROR(ROUND(+Q255/(I255/92%),3),0)</f>
        <v>0</v>
      </c>
    </row>
    <row r="256" spans="1:19" x14ac:dyDescent="0.4">
      <c r="A256" s="57"/>
      <c r="B256" s="57" t="str">
        <f t="shared" ref="B256:B266" si="264">+B255</f>
        <v>BAN2023</v>
      </c>
      <c r="C256" s="57"/>
      <c r="D256" s="57"/>
      <c r="E256" s="57"/>
      <c r="F256" s="71">
        <f t="shared" ref="F256:F266" si="265">IF(+DATE(YEAR(F255),MONTH(F255)+1,1)&gt;$G$1+1,0,+DATE(YEAR(F255),MONTH(F255)+1,1))</f>
        <v>61</v>
      </c>
      <c r="G256" s="72">
        <f t="shared" ref="G256:G266" si="266">ROUND(IF(F256=0,0,(G255+S255)),3)</f>
        <v>0</v>
      </c>
      <c r="H256" s="57">
        <f t="shared" si="253"/>
        <v>0</v>
      </c>
      <c r="I256" s="73">
        <f t="shared" si="254"/>
        <v>0</v>
      </c>
      <c r="J256" s="74">
        <v>22</v>
      </c>
      <c r="K256" s="57">
        <f t="shared" si="255"/>
        <v>0</v>
      </c>
      <c r="L256" s="75">
        <f t="shared" si="256"/>
        <v>0</v>
      </c>
      <c r="M256" s="76">
        <f t="shared" si="257"/>
        <v>0</v>
      </c>
      <c r="N256" s="76">
        <f t="shared" si="258"/>
        <v>0</v>
      </c>
      <c r="O256" s="77">
        <f t="shared" si="259"/>
        <v>0</v>
      </c>
      <c r="P256" s="77">
        <f t="shared" si="260"/>
        <v>0</v>
      </c>
      <c r="Q256" s="76">
        <f t="shared" si="261"/>
        <v>0</v>
      </c>
      <c r="R256" s="76">
        <f t="shared" si="262"/>
        <v>0</v>
      </c>
      <c r="S256" s="57">
        <f t="shared" si="263"/>
        <v>0</v>
      </c>
    </row>
    <row r="257" spans="1:19" x14ac:dyDescent="0.4">
      <c r="A257" s="57"/>
      <c r="B257" s="57" t="str">
        <f t="shared" si="264"/>
        <v>BAN2023</v>
      </c>
      <c r="C257" s="57"/>
      <c r="D257" s="57"/>
      <c r="E257" s="71"/>
      <c r="F257" s="71">
        <f t="shared" si="265"/>
        <v>92</v>
      </c>
      <c r="G257" s="72">
        <f t="shared" si="266"/>
        <v>0</v>
      </c>
      <c r="H257" s="57">
        <f t="shared" si="253"/>
        <v>0</v>
      </c>
      <c r="I257" s="73">
        <f t="shared" si="254"/>
        <v>0</v>
      </c>
      <c r="J257" s="74">
        <v>22</v>
      </c>
      <c r="K257" s="57">
        <f t="shared" si="255"/>
        <v>0</v>
      </c>
      <c r="L257" s="75">
        <f t="shared" si="256"/>
        <v>0</v>
      </c>
      <c r="M257" s="76">
        <f t="shared" si="257"/>
        <v>0</v>
      </c>
      <c r="N257" s="76">
        <f t="shared" si="258"/>
        <v>0</v>
      </c>
      <c r="O257" s="77">
        <f t="shared" si="259"/>
        <v>0</v>
      </c>
      <c r="P257" s="77">
        <f t="shared" si="260"/>
        <v>0</v>
      </c>
      <c r="Q257" s="76">
        <f t="shared" si="261"/>
        <v>0</v>
      </c>
      <c r="R257" s="76">
        <f t="shared" si="262"/>
        <v>0</v>
      </c>
      <c r="S257" s="57">
        <f t="shared" si="263"/>
        <v>0</v>
      </c>
    </row>
    <row r="258" spans="1:19" x14ac:dyDescent="0.4">
      <c r="A258" s="57"/>
      <c r="B258" s="57" t="str">
        <f t="shared" si="264"/>
        <v>BAN2023</v>
      </c>
      <c r="C258" s="57"/>
      <c r="D258" s="57"/>
      <c r="E258" s="57"/>
      <c r="F258" s="71">
        <f t="shared" si="265"/>
        <v>122</v>
      </c>
      <c r="G258" s="72">
        <f t="shared" si="266"/>
        <v>0</v>
      </c>
      <c r="H258" s="57">
        <f t="shared" si="253"/>
        <v>0</v>
      </c>
      <c r="I258" s="73">
        <f t="shared" si="254"/>
        <v>0</v>
      </c>
      <c r="J258" s="74">
        <v>22</v>
      </c>
      <c r="K258" s="57">
        <f t="shared" si="255"/>
        <v>0</v>
      </c>
      <c r="L258" s="75">
        <f t="shared" si="256"/>
        <v>0</v>
      </c>
      <c r="M258" s="76">
        <f t="shared" si="257"/>
        <v>0</v>
      </c>
      <c r="N258" s="76">
        <f t="shared" si="258"/>
        <v>0</v>
      </c>
      <c r="O258" s="77">
        <f t="shared" si="259"/>
        <v>0</v>
      </c>
      <c r="P258" s="77">
        <f t="shared" si="260"/>
        <v>0</v>
      </c>
      <c r="Q258" s="76">
        <f t="shared" si="261"/>
        <v>0</v>
      </c>
      <c r="R258" s="76">
        <f t="shared" si="262"/>
        <v>0</v>
      </c>
      <c r="S258" s="57">
        <f t="shared" si="263"/>
        <v>0</v>
      </c>
    </row>
    <row r="259" spans="1:19" x14ac:dyDescent="0.4">
      <c r="A259" s="57"/>
      <c r="B259" s="57" t="str">
        <f t="shared" si="264"/>
        <v>BAN2023</v>
      </c>
      <c r="C259" s="71"/>
      <c r="D259" s="57"/>
      <c r="E259" s="57"/>
      <c r="F259" s="71">
        <f t="shared" si="265"/>
        <v>153</v>
      </c>
      <c r="G259" s="72">
        <f t="shared" si="266"/>
        <v>0</v>
      </c>
      <c r="H259" s="57">
        <f t="shared" si="253"/>
        <v>0</v>
      </c>
      <c r="I259" s="73">
        <f t="shared" si="254"/>
        <v>0</v>
      </c>
      <c r="J259" s="74">
        <v>22</v>
      </c>
      <c r="K259" s="57">
        <f t="shared" si="255"/>
        <v>0</v>
      </c>
      <c r="L259" s="75">
        <f t="shared" si="256"/>
        <v>0</v>
      </c>
      <c r="M259" s="76">
        <f t="shared" si="257"/>
        <v>0</v>
      </c>
      <c r="N259" s="76">
        <f t="shared" si="258"/>
        <v>0</v>
      </c>
      <c r="O259" s="77">
        <f t="shared" si="259"/>
        <v>0</v>
      </c>
      <c r="P259" s="77">
        <f t="shared" si="260"/>
        <v>0</v>
      </c>
      <c r="Q259" s="76">
        <f t="shared" si="261"/>
        <v>0</v>
      </c>
      <c r="R259" s="76">
        <f t="shared" si="262"/>
        <v>0</v>
      </c>
      <c r="S259" s="57">
        <f t="shared" si="263"/>
        <v>0</v>
      </c>
    </row>
    <row r="260" spans="1:19" x14ac:dyDescent="0.4">
      <c r="A260" s="57"/>
      <c r="B260" s="57" t="str">
        <f t="shared" si="264"/>
        <v>BAN2023</v>
      </c>
      <c r="C260" s="57"/>
      <c r="D260" s="57"/>
      <c r="E260" s="57"/>
      <c r="F260" s="71">
        <f t="shared" si="265"/>
        <v>183</v>
      </c>
      <c r="G260" s="72">
        <f t="shared" si="266"/>
        <v>0</v>
      </c>
      <c r="H260" s="57">
        <f t="shared" si="253"/>
        <v>0</v>
      </c>
      <c r="I260" s="73">
        <f t="shared" si="254"/>
        <v>0</v>
      </c>
      <c r="J260" s="74">
        <v>22</v>
      </c>
      <c r="K260" s="57">
        <f t="shared" si="255"/>
        <v>0</v>
      </c>
      <c r="L260" s="75">
        <f t="shared" si="256"/>
        <v>0</v>
      </c>
      <c r="M260" s="76">
        <f t="shared" si="257"/>
        <v>0</v>
      </c>
      <c r="N260" s="76">
        <f t="shared" si="258"/>
        <v>0</v>
      </c>
      <c r="O260" s="77">
        <f t="shared" si="259"/>
        <v>0</v>
      </c>
      <c r="P260" s="77">
        <f t="shared" si="260"/>
        <v>0</v>
      </c>
      <c r="Q260" s="76">
        <f t="shared" si="261"/>
        <v>0</v>
      </c>
      <c r="R260" s="76">
        <f t="shared" si="262"/>
        <v>0</v>
      </c>
      <c r="S260" s="57">
        <f t="shared" si="263"/>
        <v>0</v>
      </c>
    </row>
    <row r="261" spans="1:19" x14ac:dyDescent="0.4">
      <c r="A261" s="57"/>
      <c r="B261" s="57" t="str">
        <f t="shared" si="264"/>
        <v>BAN2023</v>
      </c>
      <c r="C261" s="57"/>
      <c r="D261" s="57"/>
      <c r="E261" s="57"/>
      <c r="F261" s="71">
        <f t="shared" si="265"/>
        <v>214</v>
      </c>
      <c r="G261" s="72">
        <f t="shared" si="266"/>
        <v>0</v>
      </c>
      <c r="H261" s="57">
        <f t="shared" si="253"/>
        <v>0</v>
      </c>
      <c r="I261" s="73">
        <f t="shared" si="254"/>
        <v>0</v>
      </c>
      <c r="J261" s="74">
        <v>22</v>
      </c>
      <c r="K261" s="57">
        <f t="shared" si="255"/>
        <v>0</v>
      </c>
      <c r="L261" s="75">
        <f t="shared" si="256"/>
        <v>0</v>
      </c>
      <c r="M261" s="76">
        <f t="shared" si="257"/>
        <v>0</v>
      </c>
      <c r="N261" s="76">
        <f t="shared" si="258"/>
        <v>0</v>
      </c>
      <c r="O261" s="77">
        <f t="shared" si="259"/>
        <v>0</v>
      </c>
      <c r="P261" s="77">
        <f t="shared" si="260"/>
        <v>0</v>
      </c>
      <c r="Q261" s="76">
        <f t="shared" si="261"/>
        <v>0</v>
      </c>
      <c r="R261" s="76">
        <f t="shared" si="262"/>
        <v>0</v>
      </c>
      <c r="S261" s="57">
        <f t="shared" si="263"/>
        <v>0</v>
      </c>
    </row>
    <row r="262" spans="1:19" x14ac:dyDescent="0.4">
      <c r="A262" s="57"/>
      <c r="B262" s="57" t="str">
        <f t="shared" si="264"/>
        <v>BAN2023</v>
      </c>
      <c r="C262" s="57"/>
      <c r="D262" s="79"/>
      <c r="E262" s="57"/>
      <c r="F262" s="71">
        <f t="shared" si="265"/>
        <v>245</v>
      </c>
      <c r="G262" s="72">
        <f t="shared" si="266"/>
        <v>0</v>
      </c>
      <c r="H262" s="57">
        <f t="shared" si="253"/>
        <v>0</v>
      </c>
      <c r="I262" s="73">
        <f t="shared" si="254"/>
        <v>0</v>
      </c>
      <c r="J262" s="74">
        <v>22</v>
      </c>
      <c r="K262" s="57">
        <f t="shared" si="255"/>
        <v>0</v>
      </c>
      <c r="L262" s="75">
        <f t="shared" si="256"/>
        <v>0</v>
      </c>
      <c r="M262" s="76">
        <f t="shared" si="257"/>
        <v>0</v>
      </c>
      <c r="N262" s="76">
        <f t="shared" si="258"/>
        <v>0</v>
      </c>
      <c r="O262" s="77">
        <f t="shared" si="259"/>
        <v>0</v>
      </c>
      <c r="P262" s="77">
        <f t="shared" si="260"/>
        <v>0</v>
      </c>
      <c r="Q262" s="76">
        <f t="shared" si="261"/>
        <v>0</v>
      </c>
      <c r="R262" s="76">
        <f t="shared" si="262"/>
        <v>0</v>
      </c>
      <c r="S262" s="57">
        <f t="shared" si="263"/>
        <v>0</v>
      </c>
    </row>
    <row r="263" spans="1:19" x14ac:dyDescent="0.4">
      <c r="A263" s="57"/>
      <c r="B263" s="57" t="str">
        <f t="shared" si="264"/>
        <v>BAN2023</v>
      </c>
      <c r="C263" s="57"/>
      <c r="D263" s="79"/>
      <c r="E263" s="57"/>
      <c r="F263" s="71">
        <f t="shared" si="265"/>
        <v>275</v>
      </c>
      <c r="G263" s="72">
        <f t="shared" si="266"/>
        <v>0</v>
      </c>
      <c r="H263" s="57">
        <f t="shared" si="253"/>
        <v>0</v>
      </c>
      <c r="I263" s="73">
        <f t="shared" si="254"/>
        <v>0</v>
      </c>
      <c r="J263" s="74">
        <v>22</v>
      </c>
      <c r="K263" s="57">
        <f t="shared" si="255"/>
        <v>0</v>
      </c>
      <c r="L263" s="75">
        <f t="shared" si="256"/>
        <v>0</v>
      </c>
      <c r="M263" s="76">
        <f t="shared" si="257"/>
        <v>0</v>
      </c>
      <c r="N263" s="76">
        <f t="shared" si="258"/>
        <v>0</v>
      </c>
      <c r="O263" s="77">
        <f t="shared" si="259"/>
        <v>0</v>
      </c>
      <c r="P263" s="77">
        <f t="shared" si="260"/>
        <v>0</v>
      </c>
      <c r="Q263" s="76">
        <f t="shared" si="261"/>
        <v>0</v>
      </c>
      <c r="R263" s="76">
        <f t="shared" si="262"/>
        <v>0</v>
      </c>
      <c r="S263" s="57">
        <f t="shared" si="263"/>
        <v>0</v>
      </c>
    </row>
    <row r="264" spans="1:19" x14ac:dyDescent="0.4">
      <c r="A264" s="57"/>
      <c r="B264" s="57" t="str">
        <f t="shared" si="264"/>
        <v>BAN2023</v>
      </c>
      <c r="C264" s="57"/>
      <c r="D264" s="57"/>
      <c r="E264" s="57"/>
      <c r="F264" s="71">
        <f t="shared" si="265"/>
        <v>306</v>
      </c>
      <c r="G264" s="72">
        <f t="shared" si="266"/>
        <v>0</v>
      </c>
      <c r="H264" s="57">
        <f t="shared" si="253"/>
        <v>0</v>
      </c>
      <c r="I264" s="73">
        <f t="shared" si="254"/>
        <v>0</v>
      </c>
      <c r="J264" s="74">
        <v>22</v>
      </c>
      <c r="K264" s="57">
        <f t="shared" si="255"/>
        <v>0</v>
      </c>
      <c r="L264" s="75">
        <f t="shared" si="256"/>
        <v>0</v>
      </c>
      <c r="M264" s="76">
        <f t="shared" si="257"/>
        <v>0</v>
      </c>
      <c r="N264" s="76">
        <f t="shared" si="258"/>
        <v>0</v>
      </c>
      <c r="O264" s="77">
        <f t="shared" si="259"/>
        <v>0</v>
      </c>
      <c r="P264" s="77">
        <f t="shared" si="260"/>
        <v>0</v>
      </c>
      <c r="Q264" s="76">
        <f t="shared" si="261"/>
        <v>0</v>
      </c>
      <c r="R264" s="76">
        <f t="shared" si="262"/>
        <v>0</v>
      </c>
      <c r="S264" s="57">
        <f t="shared" si="263"/>
        <v>0</v>
      </c>
    </row>
    <row r="265" spans="1:19" x14ac:dyDescent="0.4">
      <c r="A265" s="57"/>
      <c r="B265" s="57" t="str">
        <f t="shared" si="264"/>
        <v>BAN2023</v>
      </c>
      <c r="C265" s="57"/>
      <c r="D265" s="57"/>
      <c r="E265" s="57"/>
      <c r="F265" s="71">
        <f t="shared" si="265"/>
        <v>336</v>
      </c>
      <c r="G265" s="72">
        <f t="shared" si="266"/>
        <v>0</v>
      </c>
      <c r="H265" s="57">
        <f t="shared" si="253"/>
        <v>0</v>
      </c>
      <c r="I265" s="73">
        <f t="shared" si="254"/>
        <v>0</v>
      </c>
      <c r="J265" s="74">
        <v>22</v>
      </c>
      <c r="K265" s="57">
        <f t="shared" si="255"/>
        <v>0</v>
      </c>
      <c r="L265" s="75">
        <f t="shared" si="256"/>
        <v>0</v>
      </c>
      <c r="M265" s="76">
        <f t="shared" si="257"/>
        <v>0</v>
      </c>
      <c r="N265" s="76">
        <f t="shared" si="258"/>
        <v>0</v>
      </c>
      <c r="O265" s="77">
        <f t="shared" si="259"/>
        <v>0</v>
      </c>
      <c r="P265" s="77">
        <f t="shared" si="260"/>
        <v>0</v>
      </c>
      <c r="Q265" s="76">
        <f t="shared" si="261"/>
        <v>0</v>
      </c>
      <c r="R265" s="76">
        <f t="shared" si="262"/>
        <v>0</v>
      </c>
      <c r="S265" s="57">
        <f t="shared" si="263"/>
        <v>0</v>
      </c>
    </row>
    <row r="266" spans="1:19" x14ac:dyDescent="0.4">
      <c r="A266" s="57"/>
      <c r="B266" s="57" t="str">
        <f t="shared" si="264"/>
        <v>BAN2023</v>
      </c>
      <c r="C266" s="57"/>
      <c r="D266" s="57"/>
      <c r="E266" s="57"/>
      <c r="F266" s="71">
        <f t="shared" si="265"/>
        <v>367</v>
      </c>
      <c r="G266" s="72">
        <f t="shared" si="266"/>
        <v>0</v>
      </c>
      <c r="H266" s="57">
        <f t="shared" si="253"/>
        <v>0</v>
      </c>
      <c r="I266" s="73">
        <f t="shared" si="254"/>
        <v>0</v>
      </c>
      <c r="J266" s="74">
        <v>22</v>
      </c>
      <c r="K266" s="57">
        <f t="shared" si="255"/>
        <v>0</v>
      </c>
      <c r="L266" s="75">
        <f t="shared" si="256"/>
        <v>0</v>
      </c>
      <c r="M266" s="76">
        <f t="shared" si="257"/>
        <v>0</v>
      </c>
      <c r="N266" s="76">
        <f t="shared" si="258"/>
        <v>0</v>
      </c>
      <c r="O266" s="77">
        <f t="shared" si="259"/>
        <v>0</v>
      </c>
      <c r="P266" s="77">
        <f t="shared" si="260"/>
        <v>0</v>
      </c>
      <c r="Q266" s="76">
        <f t="shared" si="261"/>
        <v>0</v>
      </c>
      <c r="R266" s="76">
        <f t="shared" si="262"/>
        <v>0</v>
      </c>
      <c r="S266" s="57">
        <f t="shared" si="263"/>
        <v>0</v>
      </c>
    </row>
    <row r="267" spans="1:19" x14ac:dyDescent="0.4">
      <c r="B267" s="57"/>
    </row>
    <row r="268" spans="1:19" ht="123" customHeight="1" x14ac:dyDescent="0.4">
      <c r="A268" s="69" t="s">
        <v>11</v>
      </c>
      <c r="B268" s="69" t="s">
        <v>11</v>
      </c>
      <c r="C268" s="69" t="s">
        <v>155</v>
      </c>
      <c r="D268" s="69" t="s">
        <v>158</v>
      </c>
      <c r="E268" s="69" t="s">
        <v>185</v>
      </c>
      <c r="F268" s="69" t="s">
        <v>186</v>
      </c>
      <c r="G268" s="70" t="s">
        <v>156</v>
      </c>
      <c r="H268" s="69" t="s">
        <v>187</v>
      </c>
      <c r="I268" s="69" t="s">
        <v>188</v>
      </c>
      <c r="J268" s="69" t="s">
        <v>158</v>
      </c>
      <c r="K268" s="69" t="s">
        <v>159</v>
      </c>
      <c r="L268" s="69" t="s">
        <v>160</v>
      </c>
      <c r="M268" s="69" t="s">
        <v>161</v>
      </c>
      <c r="N268" s="69" t="s">
        <v>162</v>
      </c>
      <c r="O268" s="69" t="s">
        <v>163</v>
      </c>
      <c r="P268" s="69" t="s">
        <v>164</v>
      </c>
      <c r="Q268" s="69" t="s">
        <v>165</v>
      </c>
      <c r="R268" s="69" t="s">
        <v>166</v>
      </c>
      <c r="S268" s="69" t="s">
        <v>189</v>
      </c>
    </row>
    <row r="269" spans="1:19" x14ac:dyDescent="0.4">
      <c r="A269" s="57">
        <f>+A255+1</f>
        <v>20</v>
      </c>
      <c r="B269" s="57" t="str">
        <f>INDEX('sale resgister'!B:B,A269+1,1)</f>
        <v>BRAC99559</v>
      </c>
      <c r="C269" s="71">
        <f>+VLOOKUP(B269,'sale resgister'!B:J,9,0)</f>
        <v>46017</v>
      </c>
      <c r="D269" s="79" t="str">
        <f>+VLOOKUP(B269,'sale resgister'!B:J,2,0)</f>
        <v>Batch 3</v>
      </c>
      <c r="E269" s="96">
        <f>IF(C269=0,0,VLOOKUP(B269,'sale resgister'!B:J,4,0))</f>
        <v>25.231000000000002</v>
      </c>
      <c r="F269" s="71">
        <f>DATE(YEAR(C269),MONTH(C269)+1,1)</f>
        <v>46023</v>
      </c>
      <c r="G269" s="72">
        <f>E269</f>
        <v>25.231000000000002</v>
      </c>
      <c r="H269" s="57">
        <f t="shared" ref="H269:H280" si="267">ROUND(+G269*$H$1,3)</f>
        <v>1.766</v>
      </c>
      <c r="I269" s="73">
        <f t="shared" ref="I269:I280" si="268">IFERROR(+VLOOKUP(F269,$W$3:$X$15,2,0),0)</f>
        <v>13790</v>
      </c>
      <c r="J269" s="74">
        <v>22</v>
      </c>
      <c r="K269" s="57">
        <f t="shared" ref="K269:K280" si="269">ROUND(+H269*97%,3)</f>
        <v>1.7130000000000001</v>
      </c>
      <c r="L269" s="75">
        <f t="shared" ref="L269:L280" si="270">(K269-H269*92%)*I269</f>
        <v>1217.3811999999989</v>
      </c>
      <c r="M269" s="76">
        <f t="shared" ref="M269:M280" si="271">ROUND(I269*92%*H269,2)</f>
        <v>22404.89</v>
      </c>
      <c r="N269" s="76">
        <f t="shared" ref="N269:N280" si="272">ROUND(+M269*0.11,2)</f>
        <v>2464.54</v>
      </c>
      <c r="O269" s="77">
        <f t="shared" ref="O269:O280" si="273">+N269-L269</f>
        <v>1247.1588000000011</v>
      </c>
      <c r="P269" s="77">
        <f t="shared" ref="P269:P280" si="274">ROUND(+O269*15%,2)</f>
        <v>187.07</v>
      </c>
      <c r="Q269" s="76">
        <f t="shared" ref="Q269:Q280" si="275">ROUND(+(O269-P269)*60%,2)</f>
        <v>636.04999999999995</v>
      </c>
      <c r="R269" s="76">
        <f t="shared" ref="R269:R280" si="276">ROUND(+(O269-P269)*40%,2)</f>
        <v>424.04</v>
      </c>
      <c r="S269" s="57">
        <f t="shared" ref="S269:S280" si="277">IFERROR(ROUND(+Q269/(I269/92%),3),0)</f>
        <v>4.2000000000000003E-2</v>
      </c>
    </row>
    <row r="270" spans="1:19" x14ac:dyDescent="0.4">
      <c r="A270" s="57"/>
      <c r="B270" s="57" t="str">
        <f t="shared" ref="B270:B280" si="278">+B269</f>
        <v>BRAC99559</v>
      </c>
      <c r="C270" s="57"/>
      <c r="D270" s="57"/>
      <c r="E270" s="57"/>
      <c r="F270" s="71">
        <f t="shared" ref="F270:F280" si="279">IF(+DATE(YEAR(F269),MONTH(F269)+1,1)&gt;$G$1+1,0,+DATE(YEAR(F269),MONTH(F269)+1,1))</f>
        <v>46054</v>
      </c>
      <c r="G270" s="72">
        <f t="shared" ref="G270:G280" si="280">ROUND(IF(F270=0,0,(G269+S269)),3)</f>
        <v>25.273</v>
      </c>
      <c r="H270" s="57">
        <f t="shared" si="267"/>
        <v>1.7689999999999999</v>
      </c>
      <c r="I270" s="73">
        <f t="shared" si="268"/>
        <v>15760</v>
      </c>
      <c r="J270" s="74">
        <v>22</v>
      </c>
      <c r="K270" s="57">
        <f t="shared" si="269"/>
        <v>1.716</v>
      </c>
      <c r="L270" s="75">
        <f t="shared" si="270"/>
        <v>1395.0751999999989</v>
      </c>
      <c r="M270" s="76">
        <f t="shared" si="271"/>
        <v>25649.08</v>
      </c>
      <c r="N270" s="76">
        <f t="shared" si="272"/>
        <v>2821.4</v>
      </c>
      <c r="O270" s="77">
        <f t="shared" si="273"/>
        <v>1426.3248000000012</v>
      </c>
      <c r="P270" s="77">
        <f t="shared" si="274"/>
        <v>213.95</v>
      </c>
      <c r="Q270" s="76">
        <f t="shared" si="275"/>
        <v>727.42</v>
      </c>
      <c r="R270" s="76">
        <f t="shared" si="276"/>
        <v>484.95</v>
      </c>
      <c r="S270" s="57">
        <f t="shared" si="277"/>
        <v>4.2000000000000003E-2</v>
      </c>
    </row>
    <row r="271" spans="1:19" x14ac:dyDescent="0.4">
      <c r="A271" s="57"/>
      <c r="B271" s="57" t="str">
        <f t="shared" si="278"/>
        <v>BRAC99559</v>
      </c>
      <c r="C271" s="57"/>
      <c r="D271" s="57"/>
      <c r="E271" s="71"/>
      <c r="F271" s="71">
        <f t="shared" si="279"/>
        <v>46082</v>
      </c>
      <c r="G271" s="72">
        <f t="shared" si="280"/>
        <v>25.315000000000001</v>
      </c>
      <c r="H271" s="57">
        <f t="shared" si="267"/>
        <v>1.772</v>
      </c>
      <c r="I271" s="73">
        <f t="shared" si="268"/>
        <v>17200</v>
      </c>
      <c r="J271" s="74">
        <v>22</v>
      </c>
      <c r="K271" s="57">
        <f t="shared" si="269"/>
        <v>1.7190000000000001</v>
      </c>
      <c r="L271" s="75">
        <f t="shared" si="270"/>
        <v>1526.6719999999991</v>
      </c>
      <c r="M271" s="76">
        <f t="shared" si="271"/>
        <v>28040.13</v>
      </c>
      <c r="N271" s="76">
        <f t="shared" si="272"/>
        <v>3084.41</v>
      </c>
      <c r="O271" s="77">
        <f t="shared" si="273"/>
        <v>1557.7380000000007</v>
      </c>
      <c r="P271" s="77">
        <f t="shared" si="274"/>
        <v>233.66</v>
      </c>
      <c r="Q271" s="76">
        <f t="shared" si="275"/>
        <v>794.45</v>
      </c>
      <c r="R271" s="76">
        <f t="shared" si="276"/>
        <v>529.63</v>
      </c>
      <c r="S271" s="57">
        <f t="shared" si="277"/>
        <v>4.2000000000000003E-2</v>
      </c>
    </row>
    <row r="272" spans="1:19" x14ac:dyDescent="0.4">
      <c r="A272" s="57"/>
      <c r="B272" s="57" t="str">
        <f t="shared" si="278"/>
        <v>BRAC99559</v>
      </c>
      <c r="C272" s="57"/>
      <c r="D272" s="57"/>
      <c r="E272" s="57"/>
      <c r="F272" s="71">
        <f t="shared" si="279"/>
        <v>46113</v>
      </c>
      <c r="G272" s="72">
        <f t="shared" si="280"/>
        <v>25.356999999999999</v>
      </c>
      <c r="H272" s="57">
        <f t="shared" si="267"/>
        <v>1.7749999999999999</v>
      </c>
      <c r="I272" s="73">
        <f t="shared" si="268"/>
        <v>15450</v>
      </c>
      <c r="J272" s="74">
        <v>22</v>
      </c>
      <c r="K272" s="57">
        <f t="shared" si="269"/>
        <v>1.722</v>
      </c>
      <c r="L272" s="75">
        <f t="shared" si="270"/>
        <v>1375.0499999999995</v>
      </c>
      <c r="M272" s="76">
        <f t="shared" si="271"/>
        <v>25229.85</v>
      </c>
      <c r="N272" s="76">
        <f t="shared" si="272"/>
        <v>2775.28</v>
      </c>
      <c r="O272" s="77">
        <f t="shared" si="273"/>
        <v>1400.2300000000007</v>
      </c>
      <c r="P272" s="77">
        <f t="shared" si="274"/>
        <v>210.03</v>
      </c>
      <c r="Q272" s="76">
        <f t="shared" si="275"/>
        <v>714.12</v>
      </c>
      <c r="R272" s="76">
        <f t="shared" si="276"/>
        <v>476.08</v>
      </c>
      <c r="S272" s="57">
        <f t="shared" si="277"/>
        <v>4.2999999999999997E-2</v>
      </c>
    </row>
    <row r="273" spans="1:19" x14ac:dyDescent="0.4">
      <c r="A273" s="57"/>
      <c r="B273" s="57" t="str">
        <f t="shared" si="278"/>
        <v>BRAC99559</v>
      </c>
      <c r="C273" s="71"/>
      <c r="D273" s="57"/>
      <c r="E273" s="57"/>
      <c r="F273" s="71">
        <f t="shared" si="279"/>
        <v>0</v>
      </c>
      <c r="G273" s="72">
        <f t="shared" si="280"/>
        <v>0</v>
      </c>
      <c r="H273" s="57">
        <f t="shared" si="267"/>
        <v>0</v>
      </c>
      <c r="I273" s="73">
        <f t="shared" si="268"/>
        <v>0</v>
      </c>
      <c r="J273" s="74">
        <v>22</v>
      </c>
      <c r="K273" s="57">
        <f t="shared" si="269"/>
        <v>0</v>
      </c>
      <c r="L273" s="75">
        <f t="shared" si="270"/>
        <v>0</v>
      </c>
      <c r="M273" s="76">
        <f t="shared" si="271"/>
        <v>0</v>
      </c>
      <c r="N273" s="76">
        <f t="shared" si="272"/>
        <v>0</v>
      </c>
      <c r="O273" s="77">
        <f t="shared" si="273"/>
        <v>0</v>
      </c>
      <c r="P273" s="77">
        <f t="shared" si="274"/>
        <v>0</v>
      </c>
      <c r="Q273" s="76">
        <f t="shared" si="275"/>
        <v>0</v>
      </c>
      <c r="R273" s="76">
        <f t="shared" si="276"/>
        <v>0</v>
      </c>
      <c r="S273" s="57">
        <f t="shared" si="277"/>
        <v>0</v>
      </c>
    </row>
    <row r="274" spans="1:19" x14ac:dyDescent="0.4">
      <c r="A274" s="57"/>
      <c r="B274" s="57" t="str">
        <f t="shared" si="278"/>
        <v>BRAC99559</v>
      </c>
      <c r="C274" s="57"/>
      <c r="D274" s="57"/>
      <c r="E274" s="57"/>
      <c r="F274" s="71">
        <f t="shared" si="279"/>
        <v>32</v>
      </c>
      <c r="G274" s="72">
        <f t="shared" si="280"/>
        <v>0</v>
      </c>
      <c r="H274" s="57">
        <f t="shared" si="267"/>
        <v>0</v>
      </c>
      <c r="I274" s="73">
        <f t="shared" si="268"/>
        <v>0</v>
      </c>
      <c r="J274" s="74">
        <v>22</v>
      </c>
      <c r="K274" s="57">
        <f t="shared" si="269"/>
        <v>0</v>
      </c>
      <c r="L274" s="75">
        <f t="shared" si="270"/>
        <v>0</v>
      </c>
      <c r="M274" s="76">
        <f t="shared" si="271"/>
        <v>0</v>
      </c>
      <c r="N274" s="76">
        <f t="shared" si="272"/>
        <v>0</v>
      </c>
      <c r="O274" s="77">
        <f t="shared" si="273"/>
        <v>0</v>
      </c>
      <c r="P274" s="77">
        <f t="shared" si="274"/>
        <v>0</v>
      </c>
      <c r="Q274" s="76">
        <f t="shared" si="275"/>
        <v>0</v>
      </c>
      <c r="R274" s="76">
        <f t="shared" si="276"/>
        <v>0</v>
      </c>
      <c r="S274" s="57">
        <f t="shared" si="277"/>
        <v>0</v>
      </c>
    </row>
    <row r="275" spans="1:19" x14ac:dyDescent="0.4">
      <c r="A275" s="57"/>
      <c r="B275" s="57" t="str">
        <f t="shared" si="278"/>
        <v>BRAC99559</v>
      </c>
      <c r="C275" s="57"/>
      <c r="D275" s="57"/>
      <c r="E275" s="57"/>
      <c r="F275" s="71">
        <f t="shared" si="279"/>
        <v>61</v>
      </c>
      <c r="G275" s="72">
        <f t="shared" si="280"/>
        <v>0</v>
      </c>
      <c r="H275" s="57">
        <f t="shared" si="267"/>
        <v>0</v>
      </c>
      <c r="I275" s="73">
        <f t="shared" si="268"/>
        <v>0</v>
      </c>
      <c r="J275" s="74">
        <v>22</v>
      </c>
      <c r="K275" s="57">
        <f t="shared" si="269"/>
        <v>0</v>
      </c>
      <c r="L275" s="75">
        <f t="shared" si="270"/>
        <v>0</v>
      </c>
      <c r="M275" s="76">
        <f t="shared" si="271"/>
        <v>0</v>
      </c>
      <c r="N275" s="76">
        <f t="shared" si="272"/>
        <v>0</v>
      </c>
      <c r="O275" s="77">
        <f t="shared" si="273"/>
        <v>0</v>
      </c>
      <c r="P275" s="77">
        <f t="shared" si="274"/>
        <v>0</v>
      </c>
      <c r="Q275" s="76">
        <f t="shared" si="275"/>
        <v>0</v>
      </c>
      <c r="R275" s="76">
        <f t="shared" si="276"/>
        <v>0</v>
      </c>
      <c r="S275" s="57">
        <f t="shared" si="277"/>
        <v>0</v>
      </c>
    </row>
    <row r="276" spans="1:19" x14ac:dyDescent="0.4">
      <c r="A276" s="57"/>
      <c r="B276" s="57" t="str">
        <f t="shared" si="278"/>
        <v>BRAC99559</v>
      </c>
      <c r="C276" s="57"/>
      <c r="D276" s="79"/>
      <c r="E276" s="57"/>
      <c r="F276" s="71">
        <f t="shared" si="279"/>
        <v>92</v>
      </c>
      <c r="G276" s="72">
        <f t="shared" si="280"/>
        <v>0</v>
      </c>
      <c r="H276" s="57">
        <f t="shared" si="267"/>
        <v>0</v>
      </c>
      <c r="I276" s="73">
        <f t="shared" si="268"/>
        <v>0</v>
      </c>
      <c r="J276" s="74">
        <v>22</v>
      </c>
      <c r="K276" s="57">
        <f t="shared" si="269"/>
        <v>0</v>
      </c>
      <c r="L276" s="75">
        <f t="shared" si="270"/>
        <v>0</v>
      </c>
      <c r="M276" s="76">
        <f t="shared" si="271"/>
        <v>0</v>
      </c>
      <c r="N276" s="76">
        <f t="shared" si="272"/>
        <v>0</v>
      </c>
      <c r="O276" s="77">
        <f t="shared" si="273"/>
        <v>0</v>
      </c>
      <c r="P276" s="77">
        <f t="shared" si="274"/>
        <v>0</v>
      </c>
      <c r="Q276" s="76">
        <f t="shared" si="275"/>
        <v>0</v>
      </c>
      <c r="R276" s="76">
        <f t="shared" si="276"/>
        <v>0</v>
      </c>
      <c r="S276" s="57">
        <f t="shared" si="277"/>
        <v>0</v>
      </c>
    </row>
    <row r="277" spans="1:19" x14ac:dyDescent="0.4">
      <c r="A277" s="57"/>
      <c r="B277" s="57" t="str">
        <f t="shared" si="278"/>
        <v>BRAC99559</v>
      </c>
      <c r="C277" s="57"/>
      <c r="D277" s="79"/>
      <c r="E277" s="57"/>
      <c r="F277" s="71">
        <f t="shared" si="279"/>
        <v>122</v>
      </c>
      <c r="G277" s="72">
        <f t="shared" si="280"/>
        <v>0</v>
      </c>
      <c r="H277" s="57">
        <f t="shared" si="267"/>
        <v>0</v>
      </c>
      <c r="I277" s="73">
        <f t="shared" si="268"/>
        <v>0</v>
      </c>
      <c r="J277" s="74">
        <v>22</v>
      </c>
      <c r="K277" s="57">
        <f t="shared" si="269"/>
        <v>0</v>
      </c>
      <c r="L277" s="75">
        <f t="shared" si="270"/>
        <v>0</v>
      </c>
      <c r="M277" s="76">
        <f t="shared" si="271"/>
        <v>0</v>
      </c>
      <c r="N277" s="76">
        <f t="shared" si="272"/>
        <v>0</v>
      </c>
      <c r="O277" s="77">
        <f t="shared" si="273"/>
        <v>0</v>
      </c>
      <c r="P277" s="77">
        <f t="shared" si="274"/>
        <v>0</v>
      </c>
      <c r="Q277" s="76">
        <f t="shared" si="275"/>
        <v>0</v>
      </c>
      <c r="R277" s="76">
        <f t="shared" si="276"/>
        <v>0</v>
      </c>
      <c r="S277" s="57">
        <f t="shared" si="277"/>
        <v>0</v>
      </c>
    </row>
    <row r="278" spans="1:19" x14ac:dyDescent="0.4">
      <c r="A278" s="57"/>
      <c r="B278" s="57" t="str">
        <f t="shared" si="278"/>
        <v>BRAC99559</v>
      </c>
      <c r="C278" s="57"/>
      <c r="D278" s="57"/>
      <c r="E278" s="57"/>
      <c r="F278" s="71">
        <f t="shared" si="279"/>
        <v>153</v>
      </c>
      <c r="G278" s="72">
        <f t="shared" si="280"/>
        <v>0</v>
      </c>
      <c r="H278" s="57">
        <f t="shared" si="267"/>
        <v>0</v>
      </c>
      <c r="I278" s="73">
        <f t="shared" si="268"/>
        <v>0</v>
      </c>
      <c r="J278" s="74">
        <v>22</v>
      </c>
      <c r="K278" s="57">
        <f t="shared" si="269"/>
        <v>0</v>
      </c>
      <c r="L278" s="75">
        <f t="shared" si="270"/>
        <v>0</v>
      </c>
      <c r="M278" s="76">
        <f t="shared" si="271"/>
        <v>0</v>
      </c>
      <c r="N278" s="76">
        <f t="shared" si="272"/>
        <v>0</v>
      </c>
      <c r="O278" s="77">
        <f t="shared" si="273"/>
        <v>0</v>
      </c>
      <c r="P278" s="77">
        <f t="shared" si="274"/>
        <v>0</v>
      </c>
      <c r="Q278" s="76">
        <f t="shared" si="275"/>
        <v>0</v>
      </c>
      <c r="R278" s="76">
        <f t="shared" si="276"/>
        <v>0</v>
      </c>
      <c r="S278" s="57">
        <f t="shared" si="277"/>
        <v>0</v>
      </c>
    </row>
    <row r="279" spans="1:19" x14ac:dyDescent="0.4">
      <c r="A279" s="57"/>
      <c r="B279" s="57" t="str">
        <f t="shared" si="278"/>
        <v>BRAC99559</v>
      </c>
      <c r="C279" s="57"/>
      <c r="D279" s="57"/>
      <c r="E279" s="57"/>
      <c r="F279" s="71">
        <f t="shared" si="279"/>
        <v>183</v>
      </c>
      <c r="G279" s="72">
        <f t="shared" si="280"/>
        <v>0</v>
      </c>
      <c r="H279" s="57">
        <f t="shared" si="267"/>
        <v>0</v>
      </c>
      <c r="I279" s="73">
        <f t="shared" si="268"/>
        <v>0</v>
      </c>
      <c r="J279" s="74">
        <v>22</v>
      </c>
      <c r="K279" s="57">
        <f t="shared" si="269"/>
        <v>0</v>
      </c>
      <c r="L279" s="75">
        <f t="shared" si="270"/>
        <v>0</v>
      </c>
      <c r="M279" s="76">
        <f t="shared" si="271"/>
        <v>0</v>
      </c>
      <c r="N279" s="76">
        <f t="shared" si="272"/>
        <v>0</v>
      </c>
      <c r="O279" s="77">
        <f t="shared" si="273"/>
        <v>0</v>
      </c>
      <c r="P279" s="77">
        <f t="shared" si="274"/>
        <v>0</v>
      </c>
      <c r="Q279" s="76">
        <f t="shared" si="275"/>
        <v>0</v>
      </c>
      <c r="R279" s="76">
        <f t="shared" si="276"/>
        <v>0</v>
      </c>
      <c r="S279" s="57">
        <f t="shared" si="277"/>
        <v>0</v>
      </c>
    </row>
    <row r="280" spans="1:19" x14ac:dyDescent="0.4">
      <c r="A280" s="57"/>
      <c r="B280" s="57" t="str">
        <f t="shared" si="278"/>
        <v>BRAC99559</v>
      </c>
      <c r="C280" s="57"/>
      <c r="D280" s="57"/>
      <c r="E280" s="57"/>
      <c r="F280" s="71">
        <f t="shared" si="279"/>
        <v>214</v>
      </c>
      <c r="G280" s="72">
        <f t="shared" si="280"/>
        <v>0</v>
      </c>
      <c r="H280" s="57">
        <f t="shared" si="267"/>
        <v>0</v>
      </c>
      <c r="I280" s="73">
        <f t="shared" si="268"/>
        <v>0</v>
      </c>
      <c r="J280" s="74">
        <v>22</v>
      </c>
      <c r="K280" s="57">
        <f t="shared" si="269"/>
        <v>0</v>
      </c>
      <c r="L280" s="75">
        <f t="shared" si="270"/>
        <v>0</v>
      </c>
      <c r="M280" s="76">
        <f t="shared" si="271"/>
        <v>0</v>
      </c>
      <c r="N280" s="76">
        <f t="shared" si="272"/>
        <v>0</v>
      </c>
      <c r="O280" s="77">
        <f t="shared" si="273"/>
        <v>0</v>
      </c>
      <c r="P280" s="77">
        <f t="shared" si="274"/>
        <v>0</v>
      </c>
      <c r="Q280" s="76">
        <f t="shared" si="275"/>
        <v>0</v>
      </c>
      <c r="R280" s="76">
        <f t="shared" si="276"/>
        <v>0</v>
      </c>
      <c r="S280" s="57">
        <f t="shared" si="277"/>
        <v>0</v>
      </c>
    </row>
    <row r="281" spans="1:19" x14ac:dyDescent="0.4">
      <c r="B281" s="57"/>
    </row>
    <row r="282" spans="1:19" ht="123" customHeight="1" x14ac:dyDescent="0.4">
      <c r="A282" s="69" t="s">
        <v>11</v>
      </c>
      <c r="B282" s="69" t="s">
        <v>11</v>
      </c>
      <c r="C282" s="69" t="s">
        <v>155</v>
      </c>
      <c r="D282" s="69" t="s">
        <v>158</v>
      </c>
      <c r="E282" s="69" t="s">
        <v>185</v>
      </c>
      <c r="F282" s="69" t="s">
        <v>186</v>
      </c>
      <c r="G282" s="70" t="s">
        <v>156</v>
      </c>
      <c r="H282" s="69" t="s">
        <v>187</v>
      </c>
      <c r="I282" s="69" t="s">
        <v>188</v>
      </c>
      <c r="J282" s="69" t="s">
        <v>158</v>
      </c>
      <c r="K282" s="69" t="s">
        <v>159</v>
      </c>
      <c r="L282" s="69" t="s">
        <v>160</v>
      </c>
      <c r="M282" s="69" t="s">
        <v>161</v>
      </c>
      <c r="N282" s="69" t="s">
        <v>162</v>
      </c>
      <c r="O282" s="69" t="s">
        <v>163</v>
      </c>
      <c r="P282" s="69" t="s">
        <v>164</v>
      </c>
      <c r="Q282" s="69" t="s">
        <v>165</v>
      </c>
      <c r="R282" s="69" t="s">
        <v>166</v>
      </c>
      <c r="S282" s="69" t="s">
        <v>189</v>
      </c>
    </row>
    <row r="283" spans="1:19" x14ac:dyDescent="0.4">
      <c r="A283" s="57">
        <f>+A269+1</f>
        <v>21</v>
      </c>
      <c r="B283" s="57" t="str">
        <f>INDEX('sale resgister'!B:B,A283+1,1)</f>
        <v>BRAC99564</v>
      </c>
      <c r="C283" s="71">
        <f>+VLOOKUP(B283,'sale resgister'!B:J,9,0)</f>
        <v>0</v>
      </c>
      <c r="D283" s="79" t="str">
        <f>+VLOOKUP(B283,'sale resgister'!B:J,2,0)</f>
        <v>Batch 3</v>
      </c>
      <c r="E283" s="96">
        <f>IF(C283=0,0,VLOOKUP(B283,'sale resgister'!B:J,4,0))</f>
        <v>0</v>
      </c>
      <c r="F283" s="71">
        <f>DATE(YEAR(C283),MONTH(C283)+1,1)</f>
        <v>32</v>
      </c>
      <c r="G283" s="72">
        <f>E283</f>
        <v>0</v>
      </c>
      <c r="H283" s="57">
        <f t="shared" ref="H283:H294" si="281">ROUND(+G283*$H$1,3)</f>
        <v>0</v>
      </c>
      <c r="I283" s="73">
        <f t="shared" ref="I283:I294" si="282">IFERROR(+VLOOKUP(F283,$W$3:$X$15,2,0),0)</f>
        <v>0</v>
      </c>
      <c r="J283" s="74">
        <v>22</v>
      </c>
      <c r="K283" s="57">
        <f t="shared" ref="K283:K294" si="283">ROUND(+H283*97%,3)</f>
        <v>0</v>
      </c>
      <c r="L283" s="75">
        <f t="shared" ref="L283:L294" si="284">(K283-H283*92%)*I283</f>
        <v>0</v>
      </c>
      <c r="M283" s="76">
        <f t="shared" ref="M283:M294" si="285">ROUND(I283*92%*H283,2)</f>
        <v>0</v>
      </c>
      <c r="N283" s="76">
        <f t="shared" ref="N283:N294" si="286">ROUND(+M283*0.11,2)</f>
        <v>0</v>
      </c>
      <c r="O283" s="77">
        <f t="shared" ref="O283:O294" si="287">+N283-L283</f>
        <v>0</v>
      </c>
      <c r="P283" s="77">
        <f t="shared" ref="P283:P294" si="288">ROUND(+O283*15%,2)</f>
        <v>0</v>
      </c>
      <c r="Q283" s="76">
        <f t="shared" ref="Q283:Q294" si="289">ROUND(+(O283-P283)*60%,2)</f>
        <v>0</v>
      </c>
      <c r="R283" s="76">
        <f t="shared" ref="R283:R294" si="290">ROUND(+(O283-P283)*40%,2)</f>
        <v>0</v>
      </c>
      <c r="S283" s="57">
        <f t="shared" ref="S283:S294" si="291">IFERROR(ROUND(+Q283/(I283/92%),3),0)</f>
        <v>0</v>
      </c>
    </row>
    <row r="284" spans="1:19" x14ac:dyDescent="0.4">
      <c r="A284" s="57"/>
      <c r="B284" s="57" t="str">
        <f t="shared" ref="B284:B294" si="292">+B283</f>
        <v>BRAC99564</v>
      </c>
      <c r="C284" s="57"/>
      <c r="D284" s="57"/>
      <c r="E284" s="57"/>
      <c r="F284" s="71">
        <f t="shared" ref="F284:F294" si="293">IF(+DATE(YEAR(F283),MONTH(F283)+1,1)&gt;$G$1+1,0,+DATE(YEAR(F283),MONTH(F283)+1,1))</f>
        <v>61</v>
      </c>
      <c r="G284" s="72">
        <f t="shared" ref="G284:G294" si="294">ROUND(IF(F284=0,0,(G283+S283)),3)</f>
        <v>0</v>
      </c>
      <c r="H284" s="57">
        <f t="shared" si="281"/>
        <v>0</v>
      </c>
      <c r="I284" s="73">
        <f t="shared" si="282"/>
        <v>0</v>
      </c>
      <c r="J284" s="74">
        <v>22</v>
      </c>
      <c r="K284" s="57">
        <f t="shared" si="283"/>
        <v>0</v>
      </c>
      <c r="L284" s="75">
        <f t="shared" si="284"/>
        <v>0</v>
      </c>
      <c r="M284" s="76">
        <f t="shared" si="285"/>
        <v>0</v>
      </c>
      <c r="N284" s="76">
        <f t="shared" si="286"/>
        <v>0</v>
      </c>
      <c r="O284" s="77">
        <f t="shared" si="287"/>
        <v>0</v>
      </c>
      <c r="P284" s="77">
        <f t="shared" si="288"/>
        <v>0</v>
      </c>
      <c r="Q284" s="76">
        <f t="shared" si="289"/>
        <v>0</v>
      </c>
      <c r="R284" s="76">
        <f t="shared" si="290"/>
        <v>0</v>
      </c>
      <c r="S284" s="57">
        <f t="shared" si="291"/>
        <v>0</v>
      </c>
    </row>
    <row r="285" spans="1:19" x14ac:dyDescent="0.4">
      <c r="A285" s="57"/>
      <c r="B285" s="57" t="str">
        <f t="shared" si="292"/>
        <v>BRAC99564</v>
      </c>
      <c r="C285" s="57"/>
      <c r="D285" s="57"/>
      <c r="E285" s="71"/>
      <c r="F285" s="71">
        <f t="shared" si="293"/>
        <v>92</v>
      </c>
      <c r="G285" s="72">
        <f t="shared" si="294"/>
        <v>0</v>
      </c>
      <c r="H285" s="57">
        <f t="shared" si="281"/>
        <v>0</v>
      </c>
      <c r="I285" s="73">
        <f t="shared" si="282"/>
        <v>0</v>
      </c>
      <c r="J285" s="74">
        <v>22</v>
      </c>
      <c r="K285" s="57">
        <f t="shared" si="283"/>
        <v>0</v>
      </c>
      <c r="L285" s="75">
        <f t="shared" si="284"/>
        <v>0</v>
      </c>
      <c r="M285" s="76">
        <f t="shared" si="285"/>
        <v>0</v>
      </c>
      <c r="N285" s="76">
        <f t="shared" si="286"/>
        <v>0</v>
      </c>
      <c r="O285" s="77">
        <f t="shared" si="287"/>
        <v>0</v>
      </c>
      <c r="P285" s="77">
        <f t="shared" si="288"/>
        <v>0</v>
      </c>
      <c r="Q285" s="76">
        <f t="shared" si="289"/>
        <v>0</v>
      </c>
      <c r="R285" s="76">
        <f t="shared" si="290"/>
        <v>0</v>
      </c>
      <c r="S285" s="57">
        <f t="shared" si="291"/>
        <v>0</v>
      </c>
    </row>
    <row r="286" spans="1:19" x14ac:dyDescent="0.4">
      <c r="A286" s="57"/>
      <c r="B286" s="57" t="str">
        <f t="shared" si="292"/>
        <v>BRAC99564</v>
      </c>
      <c r="C286" s="57"/>
      <c r="D286" s="57"/>
      <c r="E286" s="57"/>
      <c r="F286" s="71">
        <f t="shared" si="293"/>
        <v>122</v>
      </c>
      <c r="G286" s="72">
        <f t="shared" si="294"/>
        <v>0</v>
      </c>
      <c r="H286" s="57">
        <f t="shared" si="281"/>
        <v>0</v>
      </c>
      <c r="I286" s="73">
        <f t="shared" si="282"/>
        <v>0</v>
      </c>
      <c r="J286" s="74">
        <v>22</v>
      </c>
      <c r="K286" s="57">
        <f t="shared" si="283"/>
        <v>0</v>
      </c>
      <c r="L286" s="75">
        <f t="shared" si="284"/>
        <v>0</v>
      </c>
      <c r="M286" s="76">
        <f t="shared" si="285"/>
        <v>0</v>
      </c>
      <c r="N286" s="76">
        <f t="shared" si="286"/>
        <v>0</v>
      </c>
      <c r="O286" s="77">
        <f t="shared" si="287"/>
        <v>0</v>
      </c>
      <c r="P286" s="77">
        <f t="shared" si="288"/>
        <v>0</v>
      </c>
      <c r="Q286" s="76">
        <f t="shared" si="289"/>
        <v>0</v>
      </c>
      <c r="R286" s="76">
        <f t="shared" si="290"/>
        <v>0</v>
      </c>
      <c r="S286" s="57">
        <f t="shared" si="291"/>
        <v>0</v>
      </c>
    </row>
    <row r="287" spans="1:19" x14ac:dyDescent="0.4">
      <c r="A287" s="57"/>
      <c r="B287" s="57" t="str">
        <f t="shared" si="292"/>
        <v>BRAC99564</v>
      </c>
      <c r="C287" s="71"/>
      <c r="D287" s="57"/>
      <c r="E287" s="57"/>
      <c r="F287" s="71">
        <f t="shared" si="293"/>
        <v>153</v>
      </c>
      <c r="G287" s="72">
        <f t="shared" si="294"/>
        <v>0</v>
      </c>
      <c r="H287" s="57">
        <f t="shared" si="281"/>
        <v>0</v>
      </c>
      <c r="I287" s="73">
        <f t="shared" si="282"/>
        <v>0</v>
      </c>
      <c r="J287" s="74">
        <v>22</v>
      </c>
      <c r="K287" s="57">
        <f t="shared" si="283"/>
        <v>0</v>
      </c>
      <c r="L287" s="75">
        <f t="shared" si="284"/>
        <v>0</v>
      </c>
      <c r="M287" s="76">
        <f t="shared" si="285"/>
        <v>0</v>
      </c>
      <c r="N287" s="76">
        <f t="shared" si="286"/>
        <v>0</v>
      </c>
      <c r="O287" s="77">
        <f t="shared" si="287"/>
        <v>0</v>
      </c>
      <c r="P287" s="77">
        <f t="shared" si="288"/>
        <v>0</v>
      </c>
      <c r="Q287" s="76">
        <f t="shared" si="289"/>
        <v>0</v>
      </c>
      <c r="R287" s="76">
        <f t="shared" si="290"/>
        <v>0</v>
      </c>
      <c r="S287" s="57">
        <f t="shared" si="291"/>
        <v>0</v>
      </c>
    </row>
    <row r="288" spans="1:19" x14ac:dyDescent="0.4">
      <c r="A288" s="57"/>
      <c r="B288" s="57" t="str">
        <f t="shared" si="292"/>
        <v>BRAC99564</v>
      </c>
      <c r="C288" s="57"/>
      <c r="D288" s="57"/>
      <c r="E288" s="57"/>
      <c r="F288" s="71">
        <f t="shared" si="293"/>
        <v>183</v>
      </c>
      <c r="G288" s="72">
        <f t="shared" si="294"/>
        <v>0</v>
      </c>
      <c r="H288" s="57">
        <f t="shared" si="281"/>
        <v>0</v>
      </c>
      <c r="I288" s="73">
        <f t="shared" si="282"/>
        <v>0</v>
      </c>
      <c r="J288" s="74">
        <v>22</v>
      </c>
      <c r="K288" s="57">
        <f t="shared" si="283"/>
        <v>0</v>
      </c>
      <c r="L288" s="75">
        <f t="shared" si="284"/>
        <v>0</v>
      </c>
      <c r="M288" s="76">
        <f t="shared" si="285"/>
        <v>0</v>
      </c>
      <c r="N288" s="76">
        <f t="shared" si="286"/>
        <v>0</v>
      </c>
      <c r="O288" s="77">
        <f t="shared" si="287"/>
        <v>0</v>
      </c>
      <c r="P288" s="77">
        <f t="shared" si="288"/>
        <v>0</v>
      </c>
      <c r="Q288" s="76">
        <f t="shared" si="289"/>
        <v>0</v>
      </c>
      <c r="R288" s="76">
        <f t="shared" si="290"/>
        <v>0</v>
      </c>
      <c r="S288" s="57">
        <f t="shared" si="291"/>
        <v>0</v>
      </c>
    </row>
    <row r="289" spans="1:19" x14ac:dyDescent="0.4">
      <c r="A289" s="57"/>
      <c r="B289" s="57" t="str">
        <f t="shared" si="292"/>
        <v>BRAC99564</v>
      </c>
      <c r="C289" s="57"/>
      <c r="D289" s="57"/>
      <c r="E289" s="57"/>
      <c r="F289" s="71">
        <f t="shared" si="293"/>
        <v>214</v>
      </c>
      <c r="G289" s="72">
        <f t="shared" si="294"/>
        <v>0</v>
      </c>
      <c r="H289" s="57">
        <f t="shared" si="281"/>
        <v>0</v>
      </c>
      <c r="I289" s="73">
        <f t="shared" si="282"/>
        <v>0</v>
      </c>
      <c r="J289" s="74">
        <v>22</v>
      </c>
      <c r="K289" s="57">
        <f t="shared" si="283"/>
        <v>0</v>
      </c>
      <c r="L289" s="75">
        <f t="shared" si="284"/>
        <v>0</v>
      </c>
      <c r="M289" s="76">
        <f t="shared" si="285"/>
        <v>0</v>
      </c>
      <c r="N289" s="76">
        <f t="shared" si="286"/>
        <v>0</v>
      </c>
      <c r="O289" s="77">
        <f t="shared" si="287"/>
        <v>0</v>
      </c>
      <c r="P289" s="77">
        <f t="shared" si="288"/>
        <v>0</v>
      </c>
      <c r="Q289" s="76">
        <f t="shared" si="289"/>
        <v>0</v>
      </c>
      <c r="R289" s="76">
        <f t="shared" si="290"/>
        <v>0</v>
      </c>
      <c r="S289" s="57">
        <f t="shared" si="291"/>
        <v>0</v>
      </c>
    </row>
    <row r="290" spans="1:19" x14ac:dyDescent="0.4">
      <c r="A290" s="57"/>
      <c r="B290" s="57" t="str">
        <f t="shared" si="292"/>
        <v>BRAC99564</v>
      </c>
      <c r="C290" s="57"/>
      <c r="D290" s="79"/>
      <c r="E290" s="57"/>
      <c r="F290" s="71">
        <f t="shared" si="293"/>
        <v>245</v>
      </c>
      <c r="G290" s="72">
        <f t="shared" si="294"/>
        <v>0</v>
      </c>
      <c r="H290" s="57">
        <f t="shared" si="281"/>
        <v>0</v>
      </c>
      <c r="I290" s="73">
        <f t="shared" si="282"/>
        <v>0</v>
      </c>
      <c r="J290" s="74">
        <v>22</v>
      </c>
      <c r="K290" s="57">
        <f t="shared" si="283"/>
        <v>0</v>
      </c>
      <c r="L290" s="75">
        <f t="shared" si="284"/>
        <v>0</v>
      </c>
      <c r="M290" s="76">
        <f t="shared" si="285"/>
        <v>0</v>
      </c>
      <c r="N290" s="76">
        <f t="shared" si="286"/>
        <v>0</v>
      </c>
      <c r="O290" s="77">
        <f t="shared" si="287"/>
        <v>0</v>
      </c>
      <c r="P290" s="77">
        <f t="shared" si="288"/>
        <v>0</v>
      </c>
      <c r="Q290" s="76">
        <f t="shared" si="289"/>
        <v>0</v>
      </c>
      <c r="R290" s="76">
        <f t="shared" si="290"/>
        <v>0</v>
      </c>
      <c r="S290" s="57">
        <f t="shared" si="291"/>
        <v>0</v>
      </c>
    </row>
    <row r="291" spans="1:19" x14ac:dyDescent="0.4">
      <c r="A291" s="57"/>
      <c r="B291" s="57" t="str">
        <f t="shared" si="292"/>
        <v>BRAC99564</v>
      </c>
      <c r="C291" s="57"/>
      <c r="D291" s="79"/>
      <c r="E291" s="57"/>
      <c r="F291" s="71">
        <f t="shared" si="293"/>
        <v>275</v>
      </c>
      <c r="G291" s="72">
        <f t="shared" si="294"/>
        <v>0</v>
      </c>
      <c r="H291" s="57">
        <f t="shared" si="281"/>
        <v>0</v>
      </c>
      <c r="I291" s="73">
        <f t="shared" si="282"/>
        <v>0</v>
      </c>
      <c r="J291" s="74">
        <v>22</v>
      </c>
      <c r="K291" s="57">
        <f t="shared" si="283"/>
        <v>0</v>
      </c>
      <c r="L291" s="75">
        <f t="shared" si="284"/>
        <v>0</v>
      </c>
      <c r="M291" s="76">
        <f t="shared" si="285"/>
        <v>0</v>
      </c>
      <c r="N291" s="76">
        <f t="shared" si="286"/>
        <v>0</v>
      </c>
      <c r="O291" s="77">
        <f t="shared" si="287"/>
        <v>0</v>
      </c>
      <c r="P291" s="77">
        <f t="shared" si="288"/>
        <v>0</v>
      </c>
      <c r="Q291" s="76">
        <f t="shared" si="289"/>
        <v>0</v>
      </c>
      <c r="R291" s="76">
        <f t="shared" si="290"/>
        <v>0</v>
      </c>
      <c r="S291" s="57">
        <f t="shared" si="291"/>
        <v>0</v>
      </c>
    </row>
    <row r="292" spans="1:19" x14ac:dyDescent="0.4">
      <c r="A292" s="57"/>
      <c r="B292" s="57" t="str">
        <f t="shared" si="292"/>
        <v>BRAC99564</v>
      </c>
      <c r="C292" s="57"/>
      <c r="D292" s="57"/>
      <c r="E292" s="57"/>
      <c r="F292" s="71">
        <f t="shared" si="293"/>
        <v>306</v>
      </c>
      <c r="G292" s="72">
        <f t="shared" si="294"/>
        <v>0</v>
      </c>
      <c r="H292" s="57">
        <f t="shared" si="281"/>
        <v>0</v>
      </c>
      <c r="I292" s="73">
        <f t="shared" si="282"/>
        <v>0</v>
      </c>
      <c r="J292" s="74">
        <v>22</v>
      </c>
      <c r="K292" s="57">
        <f t="shared" si="283"/>
        <v>0</v>
      </c>
      <c r="L292" s="75">
        <f t="shared" si="284"/>
        <v>0</v>
      </c>
      <c r="M292" s="76">
        <f t="shared" si="285"/>
        <v>0</v>
      </c>
      <c r="N292" s="76">
        <f t="shared" si="286"/>
        <v>0</v>
      </c>
      <c r="O292" s="77">
        <f t="shared" si="287"/>
        <v>0</v>
      </c>
      <c r="P292" s="77">
        <f t="shared" si="288"/>
        <v>0</v>
      </c>
      <c r="Q292" s="76">
        <f t="shared" si="289"/>
        <v>0</v>
      </c>
      <c r="R292" s="76">
        <f t="shared" si="290"/>
        <v>0</v>
      </c>
      <c r="S292" s="57">
        <f t="shared" si="291"/>
        <v>0</v>
      </c>
    </row>
    <row r="293" spans="1:19" x14ac:dyDescent="0.4">
      <c r="A293" s="57"/>
      <c r="B293" s="57" t="str">
        <f t="shared" si="292"/>
        <v>BRAC99564</v>
      </c>
      <c r="C293" s="57"/>
      <c r="D293" s="57"/>
      <c r="E293" s="57"/>
      <c r="F293" s="71">
        <f t="shared" si="293"/>
        <v>336</v>
      </c>
      <c r="G293" s="72">
        <f t="shared" si="294"/>
        <v>0</v>
      </c>
      <c r="H293" s="57">
        <f t="shared" si="281"/>
        <v>0</v>
      </c>
      <c r="I293" s="73">
        <f t="shared" si="282"/>
        <v>0</v>
      </c>
      <c r="J293" s="74">
        <v>22</v>
      </c>
      <c r="K293" s="57">
        <f t="shared" si="283"/>
        <v>0</v>
      </c>
      <c r="L293" s="75">
        <f t="shared" si="284"/>
        <v>0</v>
      </c>
      <c r="M293" s="76">
        <f t="shared" si="285"/>
        <v>0</v>
      </c>
      <c r="N293" s="76">
        <f t="shared" si="286"/>
        <v>0</v>
      </c>
      <c r="O293" s="77">
        <f t="shared" si="287"/>
        <v>0</v>
      </c>
      <c r="P293" s="77">
        <f t="shared" si="288"/>
        <v>0</v>
      </c>
      <c r="Q293" s="76">
        <f t="shared" si="289"/>
        <v>0</v>
      </c>
      <c r="R293" s="76">
        <f t="shared" si="290"/>
        <v>0</v>
      </c>
      <c r="S293" s="57">
        <f t="shared" si="291"/>
        <v>0</v>
      </c>
    </row>
    <row r="294" spans="1:19" x14ac:dyDescent="0.4">
      <c r="A294" s="57"/>
      <c r="B294" s="57" t="str">
        <f t="shared" si="292"/>
        <v>BRAC99564</v>
      </c>
      <c r="C294" s="57"/>
      <c r="D294" s="57"/>
      <c r="E294" s="57"/>
      <c r="F294" s="71">
        <f t="shared" si="293"/>
        <v>367</v>
      </c>
      <c r="G294" s="72">
        <f t="shared" si="294"/>
        <v>0</v>
      </c>
      <c r="H294" s="57">
        <f t="shared" si="281"/>
        <v>0</v>
      </c>
      <c r="I294" s="73">
        <f t="shared" si="282"/>
        <v>0</v>
      </c>
      <c r="J294" s="74">
        <v>22</v>
      </c>
      <c r="K294" s="57">
        <f t="shared" si="283"/>
        <v>0</v>
      </c>
      <c r="L294" s="75">
        <f t="shared" si="284"/>
        <v>0</v>
      </c>
      <c r="M294" s="76">
        <f t="shared" si="285"/>
        <v>0</v>
      </c>
      <c r="N294" s="76">
        <f t="shared" si="286"/>
        <v>0</v>
      </c>
      <c r="O294" s="77">
        <f t="shared" si="287"/>
        <v>0</v>
      </c>
      <c r="P294" s="77">
        <f t="shared" si="288"/>
        <v>0</v>
      </c>
      <c r="Q294" s="76">
        <f t="shared" si="289"/>
        <v>0</v>
      </c>
      <c r="R294" s="76">
        <f t="shared" si="290"/>
        <v>0</v>
      </c>
      <c r="S294" s="57">
        <f t="shared" si="291"/>
        <v>0</v>
      </c>
    </row>
    <row r="295" spans="1:19" x14ac:dyDescent="0.4">
      <c r="B295" s="57"/>
    </row>
    <row r="296" spans="1:19" ht="123" customHeight="1" x14ac:dyDescent="0.4">
      <c r="A296" s="69" t="s">
        <v>11</v>
      </c>
      <c r="B296" s="69" t="s">
        <v>11</v>
      </c>
      <c r="C296" s="69" t="s">
        <v>155</v>
      </c>
      <c r="D296" s="69" t="s">
        <v>158</v>
      </c>
      <c r="E296" s="69" t="s">
        <v>185</v>
      </c>
      <c r="F296" s="69" t="s">
        <v>186</v>
      </c>
      <c r="G296" s="70" t="s">
        <v>156</v>
      </c>
      <c r="H296" s="69" t="s">
        <v>187</v>
      </c>
      <c r="I296" s="69" t="s">
        <v>188</v>
      </c>
      <c r="J296" s="69" t="s">
        <v>158</v>
      </c>
      <c r="K296" s="69" t="s">
        <v>159</v>
      </c>
      <c r="L296" s="69" t="s">
        <v>160</v>
      </c>
      <c r="M296" s="69" t="s">
        <v>161</v>
      </c>
      <c r="N296" s="69" t="s">
        <v>162</v>
      </c>
      <c r="O296" s="69" t="s">
        <v>163</v>
      </c>
      <c r="P296" s="69" t="s">
        <v>164</v>
      </c>
      <c r="Q296" s="69" t="s">
        <v>165</v>
      </c>
      <c r="R296" s="69" t="s">
        <v>166</v>
      </c>
      <c r="S296" s="69" t="s">
        <v>189</v>
      </c>
    </row>
    <row r="297" spans="1:19" x14ac:dyDescent="0.4">
      <c r="A297" s="57">
        <f>+A283+1</f>
        <v>22</v>
      </c>
      <c r="B297" s="57" t="str">
        <f>INDEX('sale resgister'!B:B,A297+1,1)</f>
        <v>BRAC99565</v>
      </c>
      <c r="C297" s="71">
        <f>+VLOOKUP(B297,'sale resgister'!B:J,9,0)</f>
        <v>0</v>
      </c>
      <c r="D297" s="79" t="str">
        <f>+VLOOKUP(B297,'sale resgister'!B:J,2,0)</f>
        <v>Batch 3</v>
      </c>
      <c r="E297" s="96">
        <f>IF(C297=0,0,VLOOKUP(B297,'sale resgister'!B:J,4,0))</f>
        <v>0</v>
      </c>
      <c r="F297" s="71">
        <f>DATE(YEAR(C297),MONTH(C297)+1,1)</f>
        <v>32</v>
      </c>
      <c r="G297" s="72">
        <f>E297</f>
        <v>0</v>
      </c>
      <c r="H297" s="57">
        <f t="shared" ref="H297:H308" si="295">ROUND(+G297*$H$1,3)</f>
        <v>0</v>
      </c>
      <c r="I297" s="73">
        <f t="shared" ref="I297:I308" si="296">IFERROR(+VLOOKUP(F297,$W$3:$X$15,2,0),0)</f>
        <v>0</v>
      </c>
      <c r="J297" s="74">
        <v>22</v>
      </c>
      <c r="K297" s="57">
        <f t="shared" ref="K297:K308" si="297">ROUND(+H297*97%,3)</f>
        <v>0</v>
      </c>
      <c r="L297" s="75">
        <f t="shared" ref="L297:L308" si="298">(K297-H297*92%)*I297</f>
        <v>0</v>
      </c>
      <c r="M297" s="76">
        <f t="shared" ref="M297:M308" si="299">ROUND(I297*92%*H297,2)</f>
        <v>0</v>
      </c>
      <c r="N297" s="76">
        <f t="shared" ref="N297:N308" si="300">ROUND(+M297*0.11,2)</f>
        <v>0</v>
      </c>
      <c r="O297" s="77">
        <f t="shared" ref="O297:O308" si="301">+N297-L297</f>
        <v>0</v>
      </c>
      <c r="P297" s="77">
        <f t="shared" ref="P297:P308" si="302">ROUND(+O297*15%,2)</f>
        <v>0</v>
      </c>
      <c r="Q297" s="76">
        <f t="shared" ref="Q297:Q308" si="303">ROUND(+(O297-P297)*60%,2)</f>
        <v>0</v>
      </c>
      <c r="R297" s="76">
        <f t="shared" ref="R297:R308" si="304">ROUND(+(O297-P297)*40%,2)</f>
        <v>0</v>
      </c>
      <c r="S297" s="57">
        <f t="shared" ref="S297:S308" si="305">IFERROR(ROUND(+Q297/(I297/92%),3),0)</f>
        <v>0</v>
      </c>
    </row>
    <row r="298" spans="1:19" x14ac:dyDescent="0.4">
      <c r="A298" s="57"/>
      <c r="B298" s="57" t="str">
        <f t="shared" ref="B298:B308" si="306">+B297</f>
        <v>BRAC99565</v>
      </c>
      <c r="C298" s="57"/>
      <c r="D298" s="57"/>
      <c r="E298" s="57"/>
      <c r="F298" s="71">
        <f t="shared" ref="F298:F308" si="307">IF(+DATE(YEAR(F297),MONTH(F297)+1,1)&gt;$G$1+1,0,+DATE(YEAR(F297),MONTH(F297)+1,1))</f>
        <v>61</v>
      </c>
      <c r="G298" s="72">
        <f t="shared" ref="G298:G308" si="308">ROUND(IF(F298=0,0,(G297+S297)),3)</f>
        <v>0</v>
      </c>
      <c r="H298" s="57">
        <f t="shared" si="295"/>
        <v>0</v>
      </c>
      <c r="I298" s="73">
        <f t="shared" si="296"/>
        <v>0</v>
      </c>
      <c r="J298" s="74">
        <v>22</v>
      </c>
      <c r="K298" s="57">
        <f t="shared" si="297"/>
        <v>0</v>
      </c>
      <c r="L298" s="75">
        <f t="shared" si="298"/>
        <v>0</v>
      </c>
      <c r="M298" s="76">
        <f t="shared" si="299"/>
        <v>0</v>
      </c>
      <c r="N298" s="76">
        <f t="shared" si="300"/>
        <v>0</v>
      </c>
      <c r="O298" s="77">
        <f t="shared" si="301"/>
        <v>0</v>
      </c>
      <c r="P298" s="77">
        <f t="shared" si="302"/>
        <v>0</v>
      </c>
      <c r="Q298" s="76">
        <f t="shared" si="303"/>
        <v>0</v>
      </c>
      <c r="R298" s="76">
        <f t="shared" si="304"/>
        <v>0</v>
      </c>
      <c r="S298" s="57">
        <f t="shared" si="305"/>
        <v>0</v>
      </c>
    </row>
    <row r="299" spans="1:19" x14ac:dyDescent="0.4">
      <c r="A299" s="57"/>
      <c r="B299" s="57" t="str">
        <f t="shared" si="306"/>
        <v>BRAC99565</v>
      </c>
      <c r="C299" s="57"/>
      <c r="D299" s="57"/>
      <c r="E299" s="71"/>
      <c r="F299" s="71">
        <f t="shared" si="307"/>
        <v>92</v>
      </c>
      <c r="G299" s="72">
        <f t="shared" si="308"/>
        <v>0</v>
      </c>
      <c r="H299" s="57">
        <f t="shared" si="295"/>
        <v>0</v>
      </c>
      <c r="I299" s="73">
        <f t="shared" si="296"/>
        <v>0</v>
      </c>
      <c r="J299" s="74">
        <v>22</v>
      </c>
      <c r="K299" s="57">
        <f t="shared" si="297"/>
        <v>0</v>
      </c>
      <c r="L299" s="75">
        <f t="shared" si="298"/>
        <v>0</v>
      </c>
      <c r="M299" s="76">
        <f t="shared" si="299"/>
        <v>0</v>
      </c>
      <c r="N299" s="76">
        <f t="shared" si="300"/>
        <v>0</v>
      </c>
      <c r="O299" s="77">
        <f t="shared" si="301"/>
        <v>0</v>
      </c>
      <c r="P299" s="77">
        <f t="shared" si="302"/>
        <v>0</v>
      </c>
      <c r="Q299" s="76">
        <f t="shared" si="303"/>
        <v>0</v>
      </c>
      <c r="R299" s="76">
        <f t="shared" si="304"/>
        <v>0</v>
      </c>
      <c r="S299" s="57">
        <f t="shared" si="305"/>
        <v>0</v>
      </c>
    </row>
    <row r="300" spans="1:19" x14ac:dyDescent="0.4">
      <c r="A300" s="57"/>
      <c r="B300" s="57" t="str">
        <f t="shared" si="306"/>
        <v>BRAC99565</v>
      </c>
      <c r="C300" s="57"/>
      <c r="D300" s="57"/>
      <c r="E300" s="57"/>
      <c r="F300" s="71">
        <f t="shared" si="307"/>
        <v>122</v>
      </c>
      <c r="G300" s="72">
        <f t="shared" si="308"/>
        <v>0</v>
      </c>
      <c r="H300" s="57">
        <f t="shared" si="295"/>
        <v>0</v>
      </c>
      <c r="I300" s="73">
        <f t="shared" si="296"/>
        <v>0</v>
      </c>
      <c r="J300" s="74">
        <v>22</v>
      </c>
      <c r="K300" s="57">
        <f t="shared" si="297"/>
        <v>0</v>
      </c>
      <c r="L300" s="75">
        <f t="shared" si="298"/>
        <v>0</v>
      </c>
      <c r="M300" s="76">
        <f t="shared" si="299"/>
        <v>0</v>
      </c>
      <c r="N300" s="76">
        <f t="shared" si="300"/>
        <v>0</v>
      </c>
      <c r="O300" s="77">
        <f t="shared" si="301"/>
        <v>0</v>
      </c>
      <c r="P300" s="77">
        <f t="shared" si="302"/>
        <v>0</v>
      </c>
      <c r="Q300" s="76">
        <f t="shared" si="303"/>
        <v>0</v>
      </c>
      <c r="R300" s="76">
        <f t="shared" si="304"/>
        <v>0</v>
      </c>
      <c r="S300" s="57">
        <f t="shared" si="305"/>
        <v>0</v>
      </c>
    </row>
    <row r="301" spans="1:19" x14ac:dyDescent="0.4">
      <c r="A301" s="57"/>
      <c r="B301" s="57" t="str">
        <f t="shared" si="306"/>
        <v>BRAC99565</v>
      </c>
      <c r="C301" s="71"/>
      <c r="D301" s="57"/>
      <c r="E301" s="57"/>
      <c r="F301" s="71">
        <f t="shared" si="307"/>
        <v>153</v>
      </c>
      <c r="G301" s="72">
        <f t="shared" si="308"/>
        <v>0</v>
      </c>
      <c r="H301" s="57">
        <f t="shared" si="295"/>
        <v>0</v>
      </c>
      <c r="I301" s="73">
        <f t="shared" si="296"/>
        <v>0</v>
      </c>
      <c r="J301" s="74">
        <v>22</v>
      </c>
      <c r="K301" s="57">
        <f t="shared" si="297"/>
        <v>0</v>
      </c>
      <c r="L301" s="75">
        <f t="shared" si="298"/>
        <v>0</v>
      </c>
      <c r="M301" s="76">
        <f t="shared" si="299"/>
        <v>0</v>
      </c>
      <c r="N301" s="76">
        <f t="shared" si="300"/>
        <v>0</v>
      </c>
      <c r="O301" s="77">
        <f t="shared" si="301"/>
        <v>0</v>
      </c>
      <c r="P301" s="77">
        <f t="shared" si="302"/>
        <v>0</v>
      </c>
      <c r="Q301" s="76">
        <f t="shared" si="303"/>
        <v>0</v>
      </c>
      <c r="R301" s="76">
        <f t="shared" si="304"/>
        <v>0</v>
      </c>
      <c r="S301" s="57">
        <f t="shared" si="305"/>
        <v>0</v>
      </c>
    </row>
    <row r="302" spans="1:19" x14ac:dyDescent="0.4">
      <c r="A302" s="57"/>
      <c r="B302" s="57" t="str">
        <f t="shared" si="306"/>
        <v>BRAC99565</v>
      </c>
      <c r="C302" s="57"/>
      <c r="D302" s="57"/>
      <c r="E302" s="57"/>
      <c r="F302" s="71">
        <f t="shared" si="307"/>
        <v>183</v>
      </c>
      <c r="G302" s="72">
        <f t="shared" si="308"/>
        <v>0</v>
      </c>
      <c r="H302" s="57">
        <f t="shared" si="295"/>
        <v>0</v>
      </c>
      <c r="I302" s="73">
        <f t="shared" si="296"/>
        <v>0</v>
      </c>
      <c r="J302" s="74">
        <v>22</v>
      </c>
      <c r="K302" s="57">
        <f t="shared" si="297"/>
        <v>0</v>
      </c>
      <c r="L302" s="75">
        <f t="shared" si="298"/>
        <v>0</v>
      </c>
      <c r="M302" s="76">
        <f t="shared" si="299"/>
        <v>0</v>
      </c>
      <c r="N302" s="76">
        <f t="shared" si="300"/>
        <v>0</v>
      </c>
      <c r="O302" s="77">
        <f t="shared" si="301"/>
        <v>0</v>
      </c>
      <c r="P302" s="77">
        <f t="shared" si="302"/>
        <v>0</v>
      </c>
      <c r="Q302" s="76">
        <f t="shared" si="303"/>
        <v>0</v>
      </c>
      <c r="R302" s="76">
        <f t="shared" si="304"/>
        <v>0</v>
      </c>
      <c r="S302" s="57">
        <f t="shared" si="305"/>
        <v>0</v>
      </c>
    </row>
    <row r="303" spans="1:19" x14ac:dyDescent="0.4">
      <c r="A303" s="57"/>
      <c r="B303" s="57" t="str">
        <f t="shared" si="306"/>
        <v>BRAC99565</v>
      </c>
      <c r="C303" s="57"/>
      <c r="D303" s="57"/>
      <c r="E303" s="57"/>
      <c r="F303" s="71">
        <f t="shared" si="307"/>
        <v>214</v>
      </c>
      <c r="G303" s="72">
        <f t="shared" si="308"/>
        <v>0</v>
      </c>
      <c r="H303" s="57">
        <f t="shared" si="295"/>
        <v>0</v>
      </c>
      <c r="I303" s="73">
        <f t="shared" si="296"/>
        <v>0</v>
      </c>
      <c r="J303" s="74">
        <v>22</v>
      </c>
      <c r="K303" s="57">
        <f t="shared" si="297"/>
        <v>0</v>
      </c>
      <c r="L303" s="75">
        <f t="shared" si="298"/>
        <v>0</v>
      </c>
      <c r="M303" s="76">
        <f t="shared" si="299"/>
        <v>0</v>
      </c>
      <c r="N303" s="76">
        <f t="shared" si="300"/>
        <v>0</v>
      </c>
      <c r="O303" s="77">
        <f t="shared" si="301"/>
        <v>0</v>
      </c>
      <c r="P303" s="77">
        <f t="shared" si="302"/>
        <v>0</v>
      </c>
      <c r="Q303" s="76">
        <f t="shared" si="303"/>
        <v>0</v>
      </c>
      <c r="R303" s="76">
        <f t="shared" si="304"/>
        <v>0</v>
      </c>
      <c r="S303" s="57">
        <f t="shared" si="305"/>
        <v>0</v>
      </c>
    </row>
    <row r="304" spans="1:19" x14ac:dyDescent="0.4">
      <c r="A304" s="57"/>
      <c r="B304" s="57" t="str">
        <f t="shared" si="306"/>
        <v>BRAC99565</v>
      </c>
      <c r="C304" s="57"/>
      <c r="D304" s="79"/>
      <c r="E304" s="57"/>
      <c r="F304" s="71">
        <f t="shared" si="307"/>
        <v>245</v>
      </c>
      <c r="G304" s="72">
        <f t="shared" si="308"/>
        <v>0</v>
      </c>
      <c r="H304" s="57">
        <f t="shared" si="295"/>
        <v>0</v>
      </c>
      <c r="I304" s="73">
        <f t="shared" si="296"/>
        <v>0</v>
      </c>
      <c r="J304" s="74">
        <v>22</v>
      </c>
      <c r="K304" s="57">
        <f t="shared" si="297"/>
        <v>0</v>
      </c>
      <c r="L304" s="75">
        <f t="shared" si="298"/>
        <v>0</v>
      </c>
      <c r="M304" s="76">
        <f t="shared" si="299"/>
        <v>0</v>
      </c>
      <c r="N304" s="76">
        <f t="shared" si="300"/>
        <v>0</v>
      </c>
      <c r="O304" s="77">
        <f t="shared" si="301"/>
        <v>0</v>
      </c>
      <c r="P304" s="77">
        <f t="shared" si="302"/>
        <v>0</v>
      </c>
      <c r="Q304" s="76">
        <f t="shared" si="303"/>
        <v>0</v>
      </c>
      <c r="R304" s="76">
        <f t="shared" si="304"/>
        <v>0</v>
      </c>
      <c r="S304" s="57">
        <f t="shared" si="305"/>
        <v>0</v>
      </c>
    </row>
    <row r="305" spans="1:19" x14ac:dyDescent="0.4">
      <c r="A305" s="57"/>
      <c r="B305" s="57" t="str">
        <f t="shared" si="306"/>
        <v>BRAC99565</v>
      </c>
      <c r="C305" s="57"/>
      <c r="D305" s="79"/>
      <c r="E305" s="57"/>
      <c r="F305" s="71">
        <f t="shared" si="307"/>
        <v>275</v>
      </c>
      <c r="G305" s="72">
        <f t="shared" si="308"/>
        <v>0</v>
      </c>
      <c r="H305" s="57">
        <f t="shared" si="295"/>
        <v>0</v>
      </c>
      <c r="I305" s="73">
        <f t="shared" si="296"/>
        <v>0</v>
      </c>
      <c r="J305" s="74">
        <v>22</v>
      </c>
      <c r="K305" s="57">
        <f t="shared" si="297"/>
        <v>0</v>
      </c>
      <c r="L305" s="75">
        <f t="shared" si="298"/>
        <v>0</v>
      </c>
      <c r="M305" s="76">
        <f t="shared" si="299"/>
        <v>0</v>
      </c>
      <c r="N305" s="76">
        <f t="shared" si="300"/>
        <v>0</v>
      </c>
      <c r="O305" s="77">
        <f t="shared" si="301"/>
        <v>0</v>
      </c>
      <c r="P305" s="77">
        <f t="shared" si="302"/>
        <v>0</v>
      </c>
      <c r="Q305" s="76">
        <f t="shared" si="303"/>
        <v>0</v>
      </c>
      <c r="R305" s="76">
        <f t="shared" si="304"/>
        <v>0</v>
      </c>
      <c r="S305" s="57">
        <f t="shared" si="305"/>
        <v>0</v>
      </c>
    </row>
    <row r="306" spans="1:19" x14ac:dyDescent="0.4">
      <c r="A306" s="57"/>
      <c r="B306" s="57" t="str">
        <f t="shared" si="306"/>
        <v>BRAC99565</v>
      </c>
      <c r="C306" s="57"/>
      <c r="D306" s="57"/>
      <c r="E306" s="57"/>
      <c r="F306" s="71">
        <f t="shared" si="307"/>
        <v>306</v>
      </c>
      <c r="G306" s="72">
        <f t="shared" si="308"/>
        <v>0</v>
      </c>
      <c r="H306" s="57">
        <f t="shared" si="295"/>
        <v>0</v>
      </c>
      <c r="I306" s="73">
        <f t="shared" si="296"/>
        <v>0</v>
      </c>
      <c r="J306" s="74">
        <v>22</v>
      </c>
      <c r="K306" s="57">
        <f t="shared" si="297"/>
        <v>0</v>
      </c>
      <c r="L306" s="75">
        <f t="shared" si="298"/>
        <v>0</v>
      </c>
      <c r="M306" s="76">
        <f t="shared" si="299"/>
        <v>0</v>
      </c>
      <c r="N306" s="76">
        <f t="shared" si="300"/>
        <v>0</v>
      </c>
      <c r="O306" s="77">
        <f t="shared" si="301"/>
        <v>0</v>
      </c>
      <c r="P306" s="77">
        <f t="shared" si="302"/>
        <v>0</v>
      </c>
      <c r="Q306" s="76">
        <f t="shared" si="303"/>
        <v>0</v>
      </c>
      <c r="R306" s="76">
        <f t="shared" si="304"/>
        <v>0</v>
      </c>
      <c r="S306" s="57">
        <f t="shared" si="305"/>
        <v>0</v>
      </c>
    </row>
    <row r="307" spans="1:19" x14ac:dyDescent="0.4">
      <c r="A307" s="57"/>
      <c r="B307" s="57" t="str">
        <f t="shared" si="306"/>
        <v>BRAC99565</v>
      </c>
      <c r="C307" s="57"/>
      <c r="D307" s="57"/>
      <c r="E307" s="57"/>
      <c r="F307" s="71">
        <f t="shared" si="307"/>
        <v>336</v>
      </c>
      <c r="G307" s="72">
        <f t="shared" si="308"/>
        <v>0</v>
      </c>
      <c r="H307" s="57">
        <f t="shared" si="295"/>
        <v>0</v>
      </c>
      <c r="I307" s="73">
        <f t="shared" si="296"/>
        <v>0</v>
      </c>
      <c r="J307" s="74">
        <v>22</v>
      </c>
      <c r="K307" s="57">
        <f t="shared" si="297"/>
        <v>0</v>
      </c>
      <c r="L307" s="75">
        <f t="shared" si="298"/>
        <v>0</v>
      </c>
      <c r="M307" s="76">
        <f t="shared" si="299"/>
        <v>0</v>
      </c>
      <c r="N307" s="76">
        <f t="shared" si="300"/>
        <v>0</v>
      </c>
      <c r="O307" s="77">
        <f t="shared" si="301"/>
        <v>0</v>
      </c>
      <c r="P307" s="77">
        <f t="shared" si="302"/>
        <v>0</v>
      </c>
      <c r="Q307" s="76">
        <f t="shared" si="303"/>
        <v>0</v>
      </c>
      <c r="R307" s="76">
        <f t="shared" si="304"/>
        <v>0</v>
      </c>
      <c r="S307" s="57">
        <f t="shared" si="305"/>
        <v>0</v>
      </c>
    </row>
    <row r="308" spans="1:19" x14ac:dyDescent="0.4">
      <c r="A308" s="57"/>
      <c r="B308" s="57" t="str">
        <f t="shared" si="306"/>
        <v>BRAC99565</v>
      </c>
      <c r="C308" s="57"/>
      <c r="D308" s="57"/>
      <c r="E308" s="57"/>
      <c r="F308" s="71">
        <f t="shared" si="307"/>
        <v>367</v>
      </c>
      <c r="G308" s="72">
        <f t="shared" si="308"/>
        <v>0</v>
      </c>
      <c r="H308" s="57">
        <f t="shared" si="295"/>
        <v>0</v>
      </c>
      <c r="I308" s="73">
        <f t="shared" si="296"/>
        <v>0</v>
      </c>
      <c r="J308" s="74">
        <v>22</v>
      </c>
      <c r="K308" s="57">
        <f t="shared" si="297"/>
        <v>0</v>
      </c>
      <c r="L308" s="75">
        <f t="shared" si="298"/>
        <v>0</v>
      </c>
      <c r="M308" s="76">
        <f t="shared" si="299"/>
        <v>0</v>
      </c>
      <c r="N308" s="76">
        <f t="shared" si="300"/>
        <v>0</v>
      </c>
      <c r="O308" s="77">
        <f t="shared" si="301"/>
        <v>0</v>
      </c>
      <c r="P308" s="77">
        <f t="shared" si="302"/>
        <v>0</v>
      </c>
      <c r="Q308" s="76">
        <f t="shared" si="303"/>
        <v>0</v>
      </c>
      <c r="R308" s="76">
        <f t="shared" si="304"/>
        <v>0</v>
      </c>
      <c r="S308" s="57">
        <f t="shared" si="305"/>
        <v>0</v>
      </c>
    </row>
    <row r="309" spans="1:19" x14ac:dyDescent="0.4">
      <c r="B309" s="57"/>
    </row>
    <row r="310" spans="1:19" ht="123" customHeight="1" x14ac:dyDescent="0.4">
      <c r="A310" s="69" t="s">
        <v>11</v>
      </c>
      <c r="B310" s="69" t="s">
        <v>11</v>
      </c>
      <c r="C310" s="69" t="s">
        <v>155</v>
      </c>
      <c r="D310" s="69" t="s">
        <v>158</v>
      </c>
      <c r="E310" s="69" t="s">
        <v>185</v>
      </c>
      <c r="F310" s="69" t="s">
        <v>186</v>
      </c>
      <c r="G310" s="70" t="s">
        <v>156</v>
      </c>
      <c r="H310" s="69" t="s">
        <v>187</v>
      </c>
      <c r="I310" s="69" t="s">
        <v>188</v>
      </c>
      <c r="J310" s="69" t="s">
        <v>158</v>
      </c>
      <c r="K310" s="69" t="s">
        <v>159</v>
      </c>
      <c r="L310" s="69" t="s">
        <v>160</v>
      </c>
      <c r="M310" s="69" t="s">
        <v>161</v>
      </c>
      <c r="N310" s="69" t="s">
        <v>162</v>
      </c>
      <c r="O310" s="69" t="s">
        <v>163</v>
      </c>
      <c r="P310" s="69" t="s">
        <v>164</v>
      </c>
      <c r="Q310" s="69" t="s">
        <v>165</v>
      </c>
      <c r="R310" s="69" t="s">
        <v>166</v>
      </c>
      <c r="S310" s="69" t="s">
        <v>189</v>
      </c>
    </row>
    <row r="311" spans="1:19" x14ac:dyDescent="0.4">
      <c r="A311" s="57">
        <f>+A297+1</f>
        <v>23</v>
      </c>
      <c r="B311" s="57" t="str">
        <f>INDEX('sale resgister'!B:B,A311+1,1)</f>
        <v>BAN2017</v>
      </c>
      <c r="C311" s="71">
        <f>+VLOOKUP(B311,'sale resgister'!B:J,9,0)</f>
        <v>0</v>
      </c>
      <c r="D311" s="79" t="str">
        <f>+VLOOKUP(B311,'sale resgister'!B:J,2,0)</f>
        <v>Batch 3</v>
      </c>
      <c r="E311" s="96">
        <f>IF(C311=0,0,VLOOKUP(B311,'sale resgister'!B:J,4,0))</f>
        <v>0</v>
      </c>
      <c r="F311" s="71">
        <f>DATE(YEAR(C311),MONTH(C311)+1,1)</f>
        <v>32</v>
      </c>
      <c r="G311" s="72">
        <f>E311</f>
        <v>0</v>
      </c>
      <c r="H311" s="57">
        <f t="shared" ref="H311:H322" si="309">ROUND(+G311*$H$1,3)</f>
        <v>0</v>
      </c>
      <c r="I311" s="73">
        <f t="shared" ref="I311:I322" si="310">IFERROR(+VLOOKUP(F311,$W$3:$X$15,2,0),0)</f>
        <v>0</v>
      </c>
      <c r="J311" s="74">
        <v>22</v>
      </c>
      <c r="K311" s="57">
        <f t="shared" ref="K311:K322" si="311">ROUND(+H311*97%,3)</f>
        <v>0</v>
      </c>
      <c r="L311" s="75">
        <f t="shared" ref="L311:L322" si="312">(K311-H311*92%)*I311</f>
        <v>0</v>
      </c>
      <c r="M311" s="76">
        <f t="shared" ref="M311:M322" si="313">ROUND(I311*92%*H311,2)</f>
        <v>0</v>
      </c>
      <c r="N311" s="76">
        <f t="shared" ref="N311:N322" si="314">ROUND(+M311*0.11,2)</f>
        <v>0</v>
      </c>
      <c r="O311" s="77">
        <f t="shared" ref="O311:O322" si="315">+N311-L311</f>
        <v>0</v>
      </c>
      <c r="P311" s="77">
        <f t="shared" ref="P311:P322" si="316">ROUND(+O311*15%,2)</f>
        <v>0</v>
      </c>
      <c r="Q311" s="76">
        <f t="shared" ref="Q311:Q322" si="317">ROUND(+(O311-P311)*60%,2)</f>
        <v>0</v>
      </c>
      <c r="R311" s="76">
        <f t="shared" ref="R311:R322" si="318">ROUND(+(O311-P311)*40%,2)</f>
        <v>0</v>
      </c>
      <c r="S311" s="57">
        <f t="shared" ref="S311:S322" si="319">IFERROR(ROUND(+Q311/(I311/92%),3),0)</f>
        <v>0</v>
      </c>
    </row>
    <row r="312" spans="1:19" x14ac:dyDescent="0.4">
      <c r="A312" s="57"/>
      <c r="B312" s="57" t="str">
        <f t="shared" ref="B312:B322" si="320">+B311</f>
        <v>BAN2017</v>
      </c>
      <c r="C312" s="57"/>
      <c r="D312" s="57"/>
      <c r="E312" s="57"/>
      <c r="F312" s="71">
        <f t="shared" ref="F312:F322" si="321">IF(+DATE(YEAR(F311),MONTH(F311)+1,1)&gt;$G$1+1,0,+DATE(YEAR(F311),MONTH(F311)+1,1))</f>
        <v>61</v>
      </c>
      <c r="G312" s="72">
        <f t="shared" ref="G312:G322" si="322">ROUND(IF(F312=0,0,(G311+S311)),3)</f>
        <v>0</v>
      </c>
      <c r="H312" s="57">
        <f t="shared" si="309"/>
        <v>0</v>
      </c>
      <c r="I312" s="73">
        <f t="shared" si="310"/>
        <v>0</v>
      </c>
      <c r="J312" s="74">
        <v>22</v>
      </c>
      <c r="K312" s="57">
        <f t="shared" si="311"/>
        <v>0</v>
      </c>
      <c r="L312" s="75">
        <f t="shared" si="312"/>
        <v>0</v>
      </c>
      <c r="M312" s="76">
        <f t="shared" si="313"/>
        <v>0</v>
      </c>
      <c r="N312" s="76">
        <f t="shared" si="314"/>
        <v>0</v>
      </c>
      <c r="O312" s="77">
        <f t="shared" si="315"/>
        <v>0</v>
      </c>
      <c r="P312" s="77">
        <f t="shared" si="316"/>
        <v>0</v>
      </c>
      <c r="Q312" s="76">
        <f t="shared" si="317"/>
        <v>0</v>
      </c>
      <c r="R312" s="76">
        <f t="shared" si="318"/>
        <v>0</v>
      </c>
      <c r="S312" s="57">
        <f t="shared" si="319"/>
        <v>0</v>
      </c>
    </row>
    <row r="313" spans="1:19" x14ac:dyDescent="0.4">
      <c r="A313" s="57"/>
      <c r="B313" s="57" t="str">
        <f t="shared" si="320"/>
        <v>BAN2017</v>
      </c>
      <c r="C313" s="57"/>
      <c r="D313" s="57"/>
      <c r="E313" s="71"/>
      <c r="F313" s="71">
        <f t="shared" si="321"/>
        <v>92</v>
      </c>
      <c r="G313" s="72">
        <f t="shared" si="322"/>
        <v>0</v>
      </c>
      <c r="H313" s="57">
        <f t="shared" si="309"/>
        <v>0</v>
      </c>
      <c r="I313" s="73">
        <f t="shared" si="310"/>
        <v>0</v>
      </c>
      <c r="J313" s="74">
        <v>22</v>
      </c>
      <c r="K313" s="57">
        <f t="shared" si="311"/>
        <v>0</v>
      </c>
      <c r="L313" s="75">
        <f t="shared" si="312"/>
        <v>0</v>
      </c>
      <c r="M313" s="76">
        <f t="shared" si="313"/>
        <v>0</v>
      </c>
      <c r="N313" s="76">
        <f t="shared" si="314"/>
        <v>0</v>
      </c>
      <c r="O313" s="77">
        <f t="shared" si="315"/>
        <v>0</v>
      </c>
      <c r="P313" s="77">
        <f t="shared" si="316"/>
        <v>0</v>
      </c>
      <c r="Q313" s="76">
        <f t="shared" si="317"/>
        <v>0</v>
      </c>
      <c r="R313" s="76">
        <f t="shared" si="318"/>
        <v>0</v>
      </c>
      <c r="S313" s="57">
        <f t="shared" si="319"/>
        <v>0</v>
      </c>
    </row>
    <row r="314" spans="1:19" x14ac:dyDescent="0.4">
      <c r="A314" s="57"/>
      <c r="B314" s="57" t="str">
        <f t="shared" si="320"/>
        <v>BAN2017</v>
      </c>
      <c r="C314" s="57"/>
      <c r="D314" s="57"/>
      <c r="E314" s="57"/>
      <c r="F314" s="71">
        <f t="shared" si="321"/>
        <v>122</v>
      </c>
      <c r="G314" s="72">
        <f t="shared" si="322"/>
        <v>0</v>
      </c>
      <c r="H314" s="57">
        <f t="shared" si="309"/>
        <v>0</v>
      </c>
      <c r="I314" s="73">
        <f t="shared" si="310"/>
        <v>0</v>
      </c>
      <c r="J314" s="74">
        <v>22</v>
      </c>
      <c r="K314" s="57">
        <f t="shared" si="311"/>
        <v>0</v>
      </c>
      <c r="L314" s="75">
        <f t="shared" si="312"/>
        <v>0</v>
      </c>
      <c r="M314" s="76">
        <f t="shared" si="313"/>
        <v>0</v>
      </c>
      <c r="N314" s="76">
        <f t="shared" si="314"/>
        <v>0</v>
      </c>
      <c r="O314" s="77">
        <f t="shared" si="315"/>
        <v>0</v>
      </c>
      <c r="P314" s="77">
        <f t="shared" si="316"/>
        <v>0</v>
      </c>
      <c r="Q314" s="76">
        <f t="shared" si="317"/>
        <v>0</v>
      </c>
      <c r="R314" s="76">
        <f t="shared" si="318"/>
        <v>0</v>
      </c>
      <c r="S314" s="57">
        <f t="shared" si="319"/>
        <v>0</v>
      </c>
    </row>
    <row r="315" spans="1:19" x14ac:dyDescent="0.4">
      <c r="A315" s="57"/>
      <c r="B315" s="57" t="str">
        <f t="shared" si="320"/>
        <v>BAN2017</v>
      </c>
      <c r="C315" s="71"/>
      <c r="D315" s="57"/>
      <c r="E315" s="57"/>
      <c r="F315" s="71">
        <f t="shared" si="321"/>
        <v>153</v>
      </c>
      <c r="G315" s="72">
        <f t="shared" si="322"/>
        <v>0</v>
      </c>
      <c r="H315" s="57">
        <f t="shared" si="309"/>
        <v>0</v>
      </c>
      <c r="I315" s="73">
        <f t="shared" si="310"/>
        <v>0</v>
      </c>
      <c r="J315" s="74">
        <v>22</v>
      </c>
      <c r="K315" s="57">
        <f t="shared" si="311"/>
        <v>0</v>
      </c>
      <c r="L315" s="75">
        <f t="shared" si="312"/>
        <v>0</v>
      </c>
      <c r="M315" s="76">
        <f t="shared" si="313"/>
        <v>0</v>
      </c>
      <c r="N315" s="76">
        <f t="shared" si="314"/>
        <v>0</v>
      </c>
      <c r="O315" s="77">
        <f t="shared" si="315"/>
        <v>0</v>
      </c>
      <c r="P315" s="77">
        <f t="shared" si="316"/>
        <v>0</v>
      </c>
      <c r="Q315" s="76">
        <f t="shared" si="317"/>
        <v>0</v>
      </c>
      <c r="R315" s="76">
        <f t="shared" si="318"/>
        <v>0</v>
      </c>
      <c r="S315" s="57">
        <f t="shared" si="319"/>
        <v>0</v>
      </c>
    </row>
    <row r="316" spans="1:19" x14ac:dyDescent="0.4">
      <c r="A316" s="57"/>
      <c r="B316" s="57" t="str">
        <f t="shared" si="320"/>
        <v>BAN2017</v>
      </c>
      <c r="C316" s="57"/>
      <c r="D316" s="57"/>
      <c r="E316" s="57"/>
      <c r="F316" s="71">
        <f t="shared" si="321"/>
        <v>183</v>
      </c>
      <c r="G316" s="72">
        <f t="shared" si="322"/>
        <v>0</v>
      </c>
      <c r="H316" s="57">
        <f t="shared" si="309"/>
        <v>0</v>
      </c>
      <c r="I316" s="73">
        <f t="shared" si="310"/>
        <v>0</v>
      </c>
      <c r="J316" s="74">
        <v>22</v>
      </c>
      <c r="K316" s="57">
        <f t="shared" si="311"/>
        <v>0</v>
      </c>
      <c r="L316" s="75">
        <f t="shared" si="312"/>
        <v>0</v>
      </c>
      <c r="M316" s="76">
        <f t="shared" si="313"/>
        <v>0</v>
      </c>
      <c r="N316" s="76">
        <f t="shared" si="314"/>
        <v>0</v>
      </c>
      <c r="O316" s="77">
        <f t="shared" si="315"/>
        <v>0</v>
      </c>
      <c r="P316" s="77">
        <f t="shared" si="316"/>
        <v>0</v>
      </c>
      <c r="Q316" s="76">
        <f t="shared" si="317"/>
        <v>0</v>
      </c>
      <c r="R316" s="76">
        <f t="shared" si="318"/>
        <v>0</v>
      </c>
      <c r="S316" s="57">
        <f t="shared" si="319"/>
        <v>0</v>
      </c>
    </row>
    <row r="317" spans="1:19" x14ac:dyDescent="0.4">
      <c r="A317" s="57"/>
      <c r="B317" s="57" t="str">
        <f t="shared" si="320"/>
        <v>BAN2017</v>
      </c>
      <c r="C317" s="57"/>
      <c r="D317" s="57"/>
      <c r="E317" s="57"/>
      <c r="F317" s="71">
        <f t="shared" si="321"/>
        <v>214</v>
      </c>
      <c r="G317" s="72">
        <f t="shared" si="322"/>
        <v>0</v>
      </c>
      <c r="H317" s="57">
        <f t="shared" si="309"/>
        <v>0</v>
      </c>
      <c r="I317" s="73">
        <f t="shared" si="310"/>
        <v>0</v>
      </c>
      <c r="J317" s="74">
        <v>22</v>
      </c>
      <c r="K317" s="57">
        <f t="shared" si="311"/>
        <v>0</v>
      </c>
      <c r="L317" s="75">
        <f t="shared" si="312"/>
        <v>0</v>
      </c>
      <c r="M317" s="76">
        <f t="shared" si="313"/>
        <v>0</v>
      </c>
      <c r="N317" s="76">
        <f t="shared" si="314"/>
        <v>0</v>
      </c>
      <c r="O317" s="77">
        <f t="shared" si="315"/>
        <v>0</v>
      </c>
      <c r="P317" s="77">
        <f t="shared" si="316"/>
        <v>0</v>
      </c>
      <c r="Q317" s="76">
        <f t="shared" si="317"/>
        <v>0</v>
      </c>
      <c r="R317" s="76">
        <f t="shared" si="318"/>
        <v>0</v>
      </c>
      <c r="S317" s="57">
        <f t="shared" si="319"/>
        <v>0</v>
      </c>
    </row>
    <row r="318" spans="1:19" x14ac:dyDescent="0.4">
      <c r="A318" s="57"/>
      <c r="B318" s="57" t="str">
        <f t="shared" si="320"/>
        <v>BAN2017</v>
      </c>
      <c r="C318" s="57"/>
      <c r="D318" s="79"/>
      <c r="E318" s="57"/>
      <c r="F318" s="71">
        <f t="shared" si="321"/>
        <v>245</v>
      </c>
      <c r="G318" s="72">
        <f t="shared" si="322"/>
        <v>0</v>
      </c>
      <c r="H318" s="57">
        <f t="shared" si="309"/>
        <v>0</v>
      </c>
      <c r="I318" s="73">
        <f t="shared" si="310"/>
        <v>0</v>
      </c>
      <c r="J318" s="74">
        <v>22</v>
      </c>
      <c r="K318" s="57">
        <f t="shared" si="311"/>
        <v>0</v>
      </c>
      <c r="L318" s="75">
        <f t="shared" si="312"/>
        <v>0</v>
      </c>
      <c r="M318" s="76">
        <f t="shared" si="313"/>
        <v>0</v>
      </c>
      <c r="N318" s="76">
        <f t="shared" si="314"/>
        <v>0</v>
      </c>
      <c r="O318" s="77">
        <f t="shared" si="315"/>
        <v>0</v>
      </c>
      <c r="P318" s="77">
        <f t="shared" si="316"/>
        <v>0</v>
      </c>
      <c r="Q318" s="76">
        <f t="shared" si="317"/>
        <v>0</v>
      </c>
      <c r="R318" s="76">
        <f t="shared" si="318"/>
        <v>0</v>
      </c>
      <c r="S318" s="57">
        <f t="shared" si="319"/>
        <v>0</v>
      </c>
    </row>
    <row r="319" spans="1:19" x14ac:dyDescent="0.4">
      <c r="A319" s="57"/>
      <c r="B319" s="57" t="str">
        <f t="shared" si="320"/>
        <v>BAN2017</v>
      </c>
      <c r="C319" s="57"/>
      <c r="D319" s="79"/>
      <c r="E319" s="57"/>
      <c r="F319" s="71">
        <f t="shared" si="321"/>
        <v>275</v>
      </c>
      <c r="G319" s="72">
        <f t="shared" si="322"/>
        <v>0</v>
      </c>
      <c r="H319" s="57">
        <f t="shared" si="309"/>
        <v>0</v>
      </c>
      <c r="I319" s="73">
        <f t="shared" si="310"/>
        <v>0</v>
      </c>
      <c r="J319" s="74">
        <v>22</v>
      </c>
      <c r="K319" s="57">
        <f t="shared" si="311"/>
        <v>0</v>
      </c>
      <c r="L319" s="75">
        <f t="shared" si="312"/>
        <v>0</v>
      </c>
      <c r="M319" s="76">
        <f t="shared" si="313"/>
        <v>0</v>
      </c>
      <c r="N319" s="76">
        <f t="shared" si="314"/>
        <v>0</v>
      </c>
      <c r="O319" s="77">
        <f t="shared" si="315"/>
        <v>0</v>
      </c>
      <c r="P319" s="77">
        <f t="shared" si="316"/>
        <v>0</v>
      </c>
      <c r="Q319" s="76">
        <f t="shared" si="317"/>
        <v>0</v>
      </c>
      <c r="R319" s="76">
        <f t="shared" si="318"/>
        <v>0</v>
      </c>
      <c r="S319" s="57">
        <f t="shared" si="319"/>
        <v>0</v>
      </c>
    </row>
    <row r="320" spans="1:19" x14ac:dyDescent="0.4">
      <c r="A320" s="57"/>
      <c r="B320" s="57" t="str">
        <f t="shared" si="320"/>
        <v>BAN2017</v>
      </c>
      <c r="C320" s="57"/>
      <c r="D320" s="57"/>
      <c r="E320" s="57"/>
      <c r="F320" s="71">
        <f t="shared" si="321"/>
        <v>306</v>
      </c>
      <c r="G320" s="72">
        <f t="shared" si="322"/>
        <v>0</v>
      </c>
      <c r="H320" s="57">
        <f t="shared" si="309"/>
        <v>0</v>
      </c>
      <c r="I320" s="73">
        <f t="shared" si="310"/>
        <v>0</v>
      </c>
      <c r="J320" s="74">
        <v>22</v>
      </c>
      <c r="K320" s="57">
        <f t="shared" si="311"/>
        <v>0</v>
      </c>
      <c r="L320" s="75">
        <f t="shared" si="312"/>
        <v>0</v>
      </c>
      <c r="M320" s="76">
        <f t="shared" si="313"/>
        <v>0</v>
      </c>
      <c r="N320" s="76">
        <f t="shared" si="314"/>
        <v>0</v>
      </c>
      <c r="O320" s="77">
        <f t="shared" si="315"/>
        <v>0</v>
      </c>
      <c r="P320" s="77">
        <f t="shared" si="316"/>
        <v>0</v>
      </c>
      <c r="Q320" s="76">
        <f t="shared" si="317"/>
        <v>0</v>
      </c>
      <c r="R320" s="76">
        <f t="shared" si="318"/>
        <v>0</v>
      </c>
      <c r="S320" s="57">
        <f t="shared" si="319"/>
        <v>0</v>
      </c>
    </row>
    <row r="321" spans="1:19" x14ac:dyDescent="0.4">
      <c r="A321" s="57"/>
      <c r="B321" s="57" t="str">
        <f t="shared" si="320"/>
        <v>BAN2017</v>
      </c>
      <c r="C321" s="57"/>
      <c r="D321" s="57"/>
      <c r="E321" s="57"/>
      <c r="F321" s="71">
        <f t="shared" si="321"/>
        <v>336</v>
      </c>
      <c r="G321" s="72">
        <f t="shared" si="322"/>
        <v>0</v>
      </c>
      <c r="H321" s="57">
        <f t="shared" si="309"/>
        <v>0</v>
      </c>
      <c r="I321" s="73">
        <f t="shared" si="310"/>
        <v>0</v>
      </c>
      <c r="J321" s="74">
        <v>22</v>
      </c>
      <c r="K321" s="57">
        <f t="shared" si="311"/>
        <v>0</v>
      </c>
      <c r="L321" s="75">
        <f t="shared" si="312"/>
        <v>0</v>
      </c>
      <c r="M321" s="76">
        <f t="shared" si="313"/>
        <v>0</v>
      </c>
      <c r="N321" s="76">
        <f t="shared" si="314"/>
        <v>0</v>
      </c>
      <c r="O321" s="77">
        <f t="shared" si="315"/>
        <v>0</v>
      </c>
      <c r="P321" s="77">
        <f t="shared" si="316"/>
        <v>0</v>
      </c>
      <c r="Q321" s="76">
        <f t="shared" si="317"/>
        <v>0</v>
      </c>
      <c r="R321" s="76">
        <f t="shared" si="318"/>
        <v>0</v>
      </c>
      <c r="S321" s="57">
        <f t="shared" si="319"/>
        <v>0</v>
      </c>
    </row>
    <row r="322" spans="1:19" x14ac:dyDescent="0.4">
      <c r="A322" s="57"/>
      <c r="B322" s="57" t="str">
        <f t="shared" si="320"/>
        <v>BAN2017</v>
      </c>
      <c r="C322" s="57"/>
      <c r="D322" s="57"/>
      <c r="E322" s="57"/>
      <c r="F322" s="71">
        <f t="shared" si="321"/>
        <v>367</v>
      </c>
      <c r="G322" s="72">
        <f t="shared" si="322"/>
        <v>0</v>
      </c>
      <c r="H322" s="57">
        <f t="shared" si="309"/>
        <v>0</v>
      </c>
      <c r="I322" s="73">
        <f t="shared" si="310"/>
        <v>0</v>
      </c>
      <c r="J322" s="74">
        <v>22</v>
      </c>
      <c r="K322" s="57">
        <f t="shared" si="311"/>
        <v>0</v>
      </c>
      <c r="L322" s="75">
        <f t="shared" si="312"/>
        <v>0</v>
      </c>
      <c r="M322" s="76">
        <f t="shared" si="313"/>
        <v>0</v>
      </c>
      <c r="N322" s="76">
        <f t="shared" si="314"/>
        <v>0</v>
      </c>
      <c r="O322" s="77">
        <f t="shared" si="315"/>
        <v>0</v>
      </c>
      <c r="P322" s="77">
        <f t="shared" si="316"/>
        <v>0</v>
      </c>
      <c r="Q322" s="76">
        <f t="shared" si="317"/>
        <v>0</v>
      </c>
      <c r="R322" s="76">
        <f t="shared" si="318"/>
        <v>0</v>
      </c>
      <c r="S322" s="57">
        <f t="shared" si="319"/>
        <v>0</v>
      </c>
    </row>
    <row r="323" spans="1:19" x14ac:dyDescent="0.4">
      <c r="B323" s="57"/>
    </row>
    <row r="324" spans="1:19" ht="123" customHeight="1" x14ac:dyDescent="0.4">
      <c r="A324" s="69" t="s">
        <v>11</v>
      </c>
      <c r="B324" s="69" t="s">
        <v>11</v>
      </c>
      <c r="C324" s="69" t="s">
        <v>155</v>
      </c>
      <c r="D324" s="69" t="s">
        <v>158</v>
      </c>
      <c r="E324" s="69" t="s">
        <v>185</v>
      </c>
      <c r="F324" s="69" t="s">
        <v>186</v>
      </c>
      <c r="G324" s="70" t="s">
        <v>156</v>
      </c>
      <c r="H324" s="69" t="s">
        <v>187</v>
      </c>
      <c r="I324" s="69" t="s">
        <v>188</v>
      </c>
      <c r="J324" s="69" t="s">
        <v>158</v>
      </c>
      <c r="K324" s="69" t="s">
        <v>159</v>
      </c>
      <c r="L324" s="69" t="s">
        <v>160</v>
      </c>
      <c r="M324" s="69" t="s">
        <v>161</v>
      </c>
      <c r="N324" s="69" t="s">
        <v>162</v>
      </c>
      <c r="O324" s="69" t="s">
        <v>163</v>
      </c>
      <c r="P324" s="69" t="s">
        <v>164</v>
      </c>
      <c r="Q324" s="69" t="s">
        <v>165</v>
      </c>
      <c r="R324" s="69" t="s">
        <v>166</v>
      </c>
      <c r="S324" s="69" t="s">
        <v>189</v>
      </c>
    </row>
    <row r="325" spans="1:19" x14ac:dyDescent="0.4">
      <c r="A325" s="57">
        <f>+A311+1</f>
        <v>24</v>
      </c>
      <c r="B325" s="57" t="str">
        <f>INDEX('sale resgister'!B:B,A325+1,1)</f>
        <v>BAN2016</v>
      </c>
      <c r="C325" s="71">
        <f>+VLOOKUP(B325,'sale resgister'!B:J,9,0)</f>
        <v>0</v>
      </c>
      <c r="D325" s="79" t="str">
        <f>+VLOOKUP(B325,'sale resgister'!B:J,2,0)</f>
        <v>Batch 3</v>
      </c>
      <c r="E325" s="96">
        <f>IF(C325=0,0,VLOOKUP(B325,'sale resgister'!B:J,4,0))</f>
        <v>0</v>
      </c>
      <c r="F325" s="71">
        <f>DATE(YEAR(C325),MONTH(C325)+1,1)</f>
        <v>32</v>
      </c>
      <c r="G325" s="72">
        <f>E325</f>
        <v>0</v>
      </c>
      <c r="H325" s="57">
        <f t="shared" ref="H325:H336" si="323">ROUND(+G325*$H$1,3)</f>
        <v>0</v>
      </c>
      <c r="I325" s="73">
        <f t="shared" ref="I325:I336" si="324">IFERROR(+VLOOKUP(F325,$W$3:$X$15,2,0),0)</f>
        <v>0</v>
      </c>
      <c r="J325" s="74">
        <v>22</v>
      </c>
      <c r="K325" s="57">
        <f t="shared" ref="K325:K336" si="325">ROUND(+H325*97%,3)</f>
        <v>0</v>
      </c>
      <c r="L325" s="75">
        <f t="shared" ref="L325:L336" si="326">(K325-H325*92%)*I325</f>
        <v>0</v>
      </c>
      <c r="M325" s="76">
        <f t="shared" ref="M325:M336" si="327">ROUND(I325*92%*H325,2)</f>
        <v>0</v>
      </c>
      <c r="N325" s="76">
        <f t="shared" ref="N325:N336" si="328">ROUND(+M325*0.11,2)</f>
        <v>0</v>
      </c>
      <c r="O325" s="77">
        <f t="shared" ref="O325:O336" si="329">+N325-L325</f>
        <v>0</v>
      </c>
      <c r="P325" s="77">
        <f t="shared" ref="P325:P336" si="330">ROUND(+O325*15%,2)</f>
        <v>0</v>
      </c>
      <c r="Q325" s="76">
        <f t="shared" ref="Q325:Q336" si="331">ROUND(+(O325-P325)*60%,2)</f>
        <v>0</v>
      </c>
      <c r="R325" s="76">
        <f t="shared" ref="R325:R336" si="332">ROUND(+(O325-P325)*40%,2)</f>
        <v>0</v>
      </c>
      <c r="S325" s="57">
        <f t="shared" ref="S325:S336" si="333">IFERROR(ROUND(+Q325/(I325/92%),3),0)</f>
        <v>0</v>
      </c>
    </row>
    <row r="326" spans="1:19" x14ac:dyDescent="0.4">
      <c r="A326" s="57"/>
      <c r="B326" s="57" t="str">
        <f t="shared" ref="B326:B336" si="334">+B325</f>
        <v>BAN2016</v>
      </c>
      <c r="C326" s="57"/>
      <c r="D326" s="57"/>
      <c r="E326" s="57"/>
      <c r="F326" s="71">
        <f t="shared" ref="F326:F336" si="335">IF(+DATE(YEAR(F325),MONTH(F325)+1,1)&gt;$G$1+1,0,+DATE(YEAR(F325),MONTH(F325)+1,1))</f>
        <v>61</v>
      </c>
      <c r="G326" s="72">
        <f t="shared" ref="G326:G336" si="336">ROUND(IF(F326=0,0,(G325+S325)),3)</f>
        <v>0</v>
      </c>
      <c r="H326" s="57">
        <f t="shared" si="323"/>
        <v>0</v>
      </c>
      <c r="I326" s="73">
        <f t="shared" si="324"/>
        <v>0</v>
      </c>
      <c r="J326" s="74">
        <v>22</v>
      </c>
      <c r="K326" s="57">
        <f t="shared" si="325"/>
        <v>0</v>
      </c>
      <c r="L326" s="75">
        <f t="shared" si="326"/>
        <v>0</v>
      </c>
      <c r="M326" s="76">
        <f t="shared" si="327"/>
        <v>0</v>
      </c>
      <c r="N326" s="76">
        <f t="shared" si="328"/>
        <v>0</v>
      </c>
      <c r="O326" s="77">
        <f t="shared" si="329"/>
        <v>0</v>
      </c>
      <c r="P326" s="77">
        <f t="shared" si="330"/>
        <v>0</v>
      </c>
      <c r="Q326" s="76">
        <f t="shared" si="331"/>
        <v>0</v>
      </c>
      <c r="R326" s="76">
        <f t="shared" si="332"/>
        <v>0</v>
      </c>
      <c r="S326" s="57">
        <f t="shared" si="333"/>
        <v>0</v>
      </c>
    </row>
    <row r="327" spans="1:19" x14ac:dyDescent="0.4">
      <c r="A327" s="57"/>
      <c r="B327" s="57" t="str">
        <f t="shared" si="334"/>
        <v>BAN2016</v>
      </c>
      <c r="C327" s="57"/>
      <c r="D327" s="57"/>
      <c r="E327" s="71"/>
      <c r="F327" s="71">
        <f t="shared" si="335"/>
        <v>92</v>
      </c>
      <c r="G327" s="72">
        <f t="shared" si="336"/>
        <v>0</v>
      </c>
      <c r="H327" s="57">
        <f t="shared" si="323"/>
        <v>0</v>
      </c>
      <c r="I327" s="73">
        <f t="shared" si="324"/>
        <v>0</v>
      </c>
      <c r="J327" s="74">
        <v>22</v>
      </c>
      <c r="K327" s="57">
        <f t="shared" si="325"/>
        <v>0</v>
      </c>
      <c r="L327" s="75">
        <f t="shared" si="326"/>
        <v>0</v>
      </c>
      <c r="M327" s="76">
        <f t="shared" si="327"/>
        <v>0</v>
      </c>
      <c r="N327" s="76">
        <f t="shared" si="328"/>
        <v>0</v>
      </c>
      <c r="O327" s="77">
        <f t="shared" si="329"/>
        <v>0</v>
      </c>
      <c r="P327" s="77">
        <f t="shared" si="330"/>
        <v>0</v>
      </c>
      <c r="Q327" s="76">
        <f t="shared" si="331"/>
        <v>0</v>
      </c>
      <c r="R327" s="76">
        <f t="shared" si="332"/>
        <v>0</v>
      </c>
      <c r="S327" s="57">
        <f t="shared" si="333"/>
        <v>0</v>
      </c>
    </row>
    <row r="328" spans="1:19" x14ac:dyDescent="0.4">
      <c r="A328" s="57"/>
      <c r="B328" s="57" t="str">
        <f t="shared" si="334"/>
        <v>BAN2016</v>
      </c>
      <c r="C328" s="57"/>
      <c r="D328" s="57"/>
      <c r="E328" s="57"/>
      <c r="F328" s="71">
        <f t="shared" si="335"/>
        <v>122</v>
      </c>
      <c r="G328" s="72">
        <f t="shared" si="336"/>
        <v>0</v>
      </c>
      <c r="H328" s="57">
        <f t="shared" si="323"/>
        <v>0</v>
      </c>
      <c r="I328" s="73">
        <f t="shared" si="324"/>
        <v>0</v>
      </c>
      <c r="J328" s="74">
        <v>22</v>
      </c>
      <c r="K328" s="57">
        <f t="shared" si="325"/>
        <v>0</v>
      </c>
      <c r="L328" s="75">
        <f t="shared" si="326"/>
        <v>0</v>
      </c>
      <c r="M328" s="76">
        <f t="shared" si="327"/>
        <v>0</v>
      </c>
      <c r="N328" s="76">
        <f t="shared" si="328"/>
        <v>0</v>
      </c>
      <c r="O328" s="77">
        <f t="shared" si="329"/>
        <v>0</v>
      </c>
      <c r="P328" s="77">
        <f t="shared" si="330"/>
        <v>0</v>
      </c>
      <c r="Q328" s="76">
        <f t="shared" si="331"/>
        <v>0</v>
      </c>
      <c r="R328" s="76">
        <f t="shared" si="332"/>
        <v>0</v>
      </c>
      <c r="S328" s="57">
        <f t="shared" si="333"/>
        <v>0</v>
      </c>
    </row>
    <row r="329" spans="1:19" x14ac:dyDescent="0.4">
      <c r="A329" s="57"/>
      <c r="B329" s="57" t="str">
        <f t="shared" si="334"/>
        <v>BAN2016</v>
      </c>
      <c r="C329" s="71"/>
      <c r="D329" s="57"/>
      <c r="E329" s="57"/>
      <c r="F329" s="71">
        <f t="shared" si="335"/>
        <v>153</v>
      </c>
      <c r="G329" s="72">
        <f t="shared" si="336"/>
        <v>0</v>
      </c>
      <c r="H329" s="57">
        <f t="shared" si="323"/>
        <v>0</v>
      </c>
      <c r="I329" s="73">
        <f t="shared" si="324"/>
        <v>0</v>
      </c>
      <c r="J329" s="74">
        <v>22</v>
      </c>
      <c r="K329" s="57">
        <f t="shared" si="325"/>
        <v>0</v>
      </c>
      <c r="L329" s="75">
        <f t="shared" si="326"/>
        <v>0</v>
      </c>
      <c r="M329" s="76">
        <f t="shared" si="327"/>
        <v>0</v>
      </c>
      <c r="N329" s="76">
        <f t="shared" si="328"/>
        <v>0</v>
      </c>
      <c r="O329" s="77">
        <f t="shared" si="329"/>
        <v>0</v>
      </c>
      <c r="P329" s="77">
        <f t="shared" si="330"/>
        <v>0</v>
      </c>
      <c r="Q329" s="76">
        <f t="shared" si="331"/>
        <v>0</v>
      </c>
      <c r="R329" s="76">
        <f t="shared" si="332"/>
        <v>0</v>
      </c>
      <c r="S329" s="57">
        <f t="shared" si="333"/>
        <v>0</v>
      </c>
    </row>
    <row r="330" spans="1:19" x14ac:dyDescent="0.4">
      <c r="A330" s="57"/>
      <c r="B330" s="57" t="str">
        <f t="shared" si="334"/>
        <v>BAN2016</v>
      </c>
      <c r="C330" s="57"/>
      <c r="D330" s="57"/>
      <c r="E330" s="57"/>
      <c r="F330" s="71">
        <f t="shared" si="335"/>
        <v>183</v>
      </c>
      <c r="G330" s="72">
        <f t="shared" si="336"/>
        <v>0</v>
      </c>
      <c r="H330" s="57">
        <f t="shared" si="323"/>
        <v>0</v>
      </c>
      <c r="I330" s="73">
        <f t="shared" si="324"/>
        <v>0</v>
      </c>
      <c r="J330" s="74">
        <v>22</v>
      </c>
      <c r="K330" s="57">
        <f t="shared" si="325"/>
        <v>0</v>
      </c>
      <c r="L330" s="75">
        <f t="shared" si="326"/>
        <v>0</v>
      </c>
      <c r="M330" s="76">
        <f t="shared" si="327"/>
        <v>0</v>
      </c>
      <c r="N330" s="76">
        <f t="shared" si="328"/>
        <v>0</v>
      </c>
      <c r="O330" s="77">
        <f t="shared" si="329"/>
        <v>0</v>
      </c>
      <c r="P330" s="77">
        <f t="shared" si="330"/>
        <v>0</v>
      </c>
      <c r="Q330" s="76">
        <f t="shared" si="331"/>
        <v>0</v>
      </c>
      <c r="R330" s="76">
        <f t="shared" si="332"/>
        <v>0</v>
      </c>
      <c r="S330" s="57">
        <f t="shared" si="333"/>
        <v>0</v>
      </c>
    </row>
    <row r="331" spans="1:19" x14ac:dyDescent="0.4">
      <c r="A331" s="57"/>
      <c r="B331" s="57" t="str">
        <f t="shared" si="334"/>
        <v>BAN2016</v>
      </c>
      <c r="C331" s="57"/>
      <c r="D331" s="57"/>
      <c r="E331" s="57"/>
      <c r="F331" s="71">
        <f t="shared" si="335"/>
        <v>214</v>
      </c>
      <c r="G331" s="72">
        <f t="shared" si="336"/>
        <v>0</v>
      </c>
      <c r="H331" s="57">
        <f t="shared" si="323"/>
        <v>0</v>
      </c>
      <c r="I331" s="73">
        <f t="shared" si="324"/>
        <v>0</v>
      </c>
      <c r="J331" s="74">
        <v>22</v>
      </c>
      <c r="K331" s="57">
        <f t="shared" si="325"/>
        <v>0</v>
      </c>
      <c r="L331" s="75">
        <f t="shared" si="326"/>
        <v>0</v>
      </c>
      <c r="M331" s="76">
        <f t="shared" si="327"/>
        <v>0</v>
      </c>
      <c r="N331" s="76">
        <f t="shared" si="328"/>
        <v>0</v>
      </c>
      <c r="O331" s="77">
        <f t="shared" si="329"/>
        <v>0</v>
      </c>
      <c r="P331" s="77">
        <f t="shared" si="330"/>
        <v>0</v>
      </c>
      <c r="Q331" s="76">
        <f t="shared" si="331"/>
        <v>0</v>
      </c>
      <c r="R331" s="76">
        <f t="shared" si="332"/>
        <v>0</v>
      </c>
      <c r="S331" s="57">
        <f t="shared" si="333"/>
        <v>0</v>
      </c>
    </row>
    <row r="332" spans="1:19" x14ac:dyDescent="0.4">
      <c r="A332" s="57"/>
      <c r="B332" s="57" t="str">
        <f t="shared" si="334"/>
        <v>BAN2016</v>
      </c>
      <c r="C332" s="57"/>
      <c r="D332" s="79"/>
      <c r="E332" s="57"/>
      <c r="F332" s="71">
        <f t="shared" si="335"/>
        <v>245</v>
      </c>
      <c r="G332" s="72">
        <f t="shared" si="336"/>
        <v>0</v>
      </c>
      <c r="H332" s="57">
        <f t="shared" si="323"/>
        <v>0</v>
      </c>
      <c r="I332" s="73">
        <f t="shared" si="324"/>
        <v>0</v>
      </c>
      <c r="J332" s="74">
        <v>22</v>
      </c>
      <c r="K332" s="57">
        <f t="shared" si="325"/>
        <v>0</v>
      </c>
      <c r="L332" s="75">
        <f t="shared" si="326"/>
        <v>0</v>
      </c>
      <c r="M332" s="76">
        <f t="shared" si="327"/>
        <v>0</v>
      </c>
      <c r="N332" s="76">
        <f t="shared" si="328"/>
        <v>0</v>
      </c>
      <c r="O332" s="77">
        <f t="shared" si="329"/>
        <v>0</v>
      </c>
      <c r="P332" s="77">
        <f t="shared" si="330"/>
        <v>0</v>
      </c>
      <c r="Q332" s="76">
        <f t="shared" si="331"/>
        <v>0</v>
      </c>
      <c r="R332" s="76">
        <f t="shared" si="332"/>
        <v>0</v>
      </c>
      <c r="S332" s="57">
        <f t="shared" si="333"/>
        <v>0</v>
      </c>
    </row>
    <row r="333" spans="1:19" x14ac:dyDescent="0.4">
      <c r="A333" s="57"/>
      <c r="B333" s="57" t="str">
        <f t="shared" si="334"/>
        <v>BAN2016</v>
      </c>
      <c r="C333" s="57"/>
      <c r="D333" s="79"/>
      <c r="E333" s="57"/>
      <c r="F333" s="71">
        <f t="shared" si="335"/>
        <v>275</v>
      </c>
      <c r="G333" s="72">
        <f t="shared" si="336"/>
        <v>0</v>
      </c>
      <c r="H333" s="57">
        <f t="shared" si="323"/>
        <v>0</v>
      </c>
      <c r="I333" s="73">
        <f t="shared" si="324"/>
        <v>0</v>
      </c>
      <c r="J333" s="74">
        <v>22</v>
      </c>
      <c r="K333" s="57">
        <f t="shared" si="325"/>
        <v>0</v>
      </c>
      <c r="L333" s="75">
        <f t="shared" si="326"/>
        <v>0</v>
      </c>
      <c r="M333" s="76">
        <f t="shared" si="327"/>
        <v>0</v>
      </c>
      <c r="N333" s="76">
        <f t="shared" si="328"/>
        <v>0</v>
      </c>
      <c r="O333" s="77">
        <f t="shared" si="329"/>
        <v>0</v>
      </c>
      <c r="P333" s="77">
        <f t="shared" si="330"/>
        <v>0</v>
      </c>
      <c r="Q333" s="76">
        <f t="shared" si="331"/>
        <v>0</v>
      </c>
      <c r="R333" s="76">
        <f t="shared" si="332"/>
        <v>0</v>
      </c>
      <c r="S333" s="57">
        <f t="shared" si="333"/>
        <v>0</v>
      </c>
    </row>
    <row r="334" spans="1:19" x14ac:dyDescent="0.4">
      <c r="A334" s="57"/>
      <c r="B334" s="57" t="str">
        <f t="shared" si="334"/>
        <v>BAN2016</v>
      </c>
      <c r="C334" s="57"/>
      <c r="D334" s="57"/>
      <c r="E334" s="57"/>
      <c r="F334" s="71">
        <f t="shared" si="335"/>
        <v>306</v>
      </c>
      <c r="G334" s="72">
        <f t="shared" si="336"/>
        <v>0</v>
      </c>
      <c r="H334" s="57">
        <f t="shared" si="323"/>
        <v>0</v>
      </c>
      <c r="I334" s="73">
        <f t="shared" si="324"/>
        <v>0</v>
      </c>
      <c r="J334" s="74">
        <v>22</v>
      </c>
      <c r="K334" s="57">
        <f t="shared" si="325"/>
        <v>0</v>
      </c>
      <c r="L334" s="75">
        <f t="shared" si="326"/>
        <v>0</v>
      </c>
      <c r="M334" s="76">
        <f t="shared" si="327"/>
        <v>0</v>
      </c>
      <c r="N334" s="76">
        <f t="shared" si="328"/>
        <v>0</v>
      </c>
      <c r="O334" s="77">
        <f t="shared" si="329"/>
        <v>0</v>
      </c>
      <c r="P334" s="77">
        <f t="shared" si="330"/>
        <v>0</v>
      </c>
      <c r="Q334" s="76">
        <f t="shared" si="331"/>
        <v>0</v>
      </c>
      <c r="R334" s="76">
        <f t="shared" si="332"/>
        <v>0</v>
      </c>
      <c r="S334" s="57">
        <f t="shared" si="333"/>
        <v>0</v>
      </c>
    </row>
    <row r="335" spans="1:19" x14ac:dyDescent="0.4">
      <c r="A335" s="57"/>
      <c r="B335" s="57" t="str">
        <f t="shared" si="334"/>
        <v>BAN2016</v>
      </c>
      <c r="C335" s="57"/>
      <c r="D335" s="57"/>
      <c r="E335" s="57"/>
      <c r="F335" s="71">
        <f t="shared" si="335"/>
        <v>336</v>
      </c>
      <c r="G335" s="72">
        <f t="shared" si="336"/>
        <v>0</v>
      </c>
      <c r="H335" s="57">
        <f t="shared" si="323"/>
        <v>0</v>
      </c>
      <c r="I335" s="73">
        <f t="shared" si="324"/>
        <v>0</v>
      </c>
      <c r="J335" s="74">
        <v>22</v>
      </c>
      <c r="K335" s="57">
        <f t="shared" si="325"/>
        <v>0</v>
      </c>
      <c r="L335" s="75">
        <f t="shared" si="326"/>
        <v>0</v>
      </c>
      <c r="M335" s="76">
        <f t="shared" si="327"/>
        <v>0</v>
      </c>
      <c r="N335" s="76">
        <f t="shared" si="328"/>
        <v>0</v>
      </c>
      <c r="O335" s="77">
        <f t="shared" si="329"/>
        <v>0</v>
      </c>
      <c r="P335" s="77">
        <f t="shared" si="330"/>
        <v>0</v>
      </c>
      <c r="Q335" s="76">
        <f t="shared" si="331"/>
        <v>0</v>
      </c>
      <c r="R335" s="76">
        <f t="shared" si="332"/>
        <v>0</v>
      </c>
      <c r="S335" s="57">
        <f t="shared" si="333"/>
        <v>0</v>
      </c>
    </row>
    <row r="336" spans="1:19" x14ac:dyDescent="0.4">
      <c r="A336" s="57"/>
      <c r="B336" s="57" t="str">
        <f t="shared" si="334"/>
        <v>BAN2016</v>
      </c>
      <c r="C336" s="57"/>
      <c r="D336" s="57"/>
      <c r="E336" s="57"/>
      <c r="F336" s="71">
        <f t="shared" si="335"/>
        <v>367</v>
      </c>
      <c r="G336" s="72">
        <f t="shared" si="336"/>
        <v>0</v>
      </c>
      <c r="H336" s="57">
        <f t="shared" si="323"/>
        <v>0</v>
      </c>
      <c r="I336" s="73">
        <f t="shared" si="324"/>
        <v>0</v>
      </c>
      <c r="J336" s="74">
        <v>22</v>
      </c>
      <c r="K336" s="57">
        <f t="shared" si="325"/>
        <v>0</v>
      </c>
      <c r="L336" s="75">
        <f t="shared" si="326"/>
        <v>0</v>
      </c>
      <c r="M336" s="76">
        <f t="shared" si="327"/>
        <v>0</v>
      </c>
      <c r="N336" s="76">
        <f t="shared" si="328"/>
        <v>0</v>
      </c>
      <c r="O336" s="77">
        <f t="shared" si="329"/>
        <v>0</v>
      </c>
      <c r="P336" s="77">
        <f t="shared" si="330"/>
        <v>0</v>
      </c>
      <c r="Q336" s="76">
        <f t="shared" si="331"/>
        <v>0</v>
      </c>
      <c r="R336" s="76">
        <f t="shared" si="332"/>
        <v>0</v>
      </c>
      <c r="S336" s="57">
        <f t="shared" si="333"/>
        <v>0</v>
      </c>
    </row>
    <row r="337" spans="1:19" x14ac:dyDescent="0.4">
      <c r="B337" s="57"/>
    </row>
    <row r="338" spans="1:19" ht="123" customHeight="1" x14ac:dyDescent="0.4">
      <c r="A338" s="69" t="s">
        <v>11</v>
      </c>
      <c r="B338" s="69" t="s">
        <v>11</v>
      </c>
      <c r="C338" s="69" t="s">
        <v>155</v>
      </c>
      <c r="D338" s="69" t="s">
        <v>158</v>
      </c>
      <c r="E338" s="69" t="s">
        <v>185</v>
      </c>
      <c r="F338" s="69" t="s">
        <v>186</v>
      </c>
      <c r="G338" s="70" t="s">
        <v>156</v>
      </c>
      <c r="H338" s="69" t="s">
        <v>187</v>
      </c>
      <c r="I338" s="69" t="s">
        <v>188</v>
      </c>
      <c r="J338" s="69" t="s">
        <v>158</v>
      </c>
      <c r="K338" s="69" t="s">
        <v>159</v>
      </c>
      <c r="L338" s="69" t="s">
        <v>160</v>
      </c>
      <c r="M338" s="69" t="s">
        <v>161</v>
      </c>
      <c r="N338" s="69" t="s">
        <v>162</v>
      </c>
      <c r="O338" s="69" t="s">
        <v>163</v>
      </c>
      <c r="P338" s="69" t="s">
        <v>164</v>
      </c>
      <c r="Q338" s="69" t="s">
        <v>165</v>
      </c>
      <c r="R338" s="69" t="s">
        <v>166</v>
      </c>
      <c r="S338" s="69" t="s">
        <v>189</v>
      </c>
    </row>
    <row r="339" spans="1:19" x14ac:dyDescent="0.4">
      <c r="A339" s="57">
        <f>+A325+1</f>
        <v>25</v>
      </c>
      <c r="B339" s="57" t="str">
        <f>INDEX('sale resgister'!B:B,A339+1,1)</f>
        <v>BAN2015</v>
      </c>
      <c r="C339" s="71">
        <f>+VLOOKUP(B339,'sale resgister'!B:J,9,0)</f>
        <v>0</v>
      </c>
      <c r="D339" s="79" t="str">
        <f>+VLOOKUP(B339,'sale resgister'!B:J,2,0)</f>
        <v>Batch 3</v>
      </c>
      <c r="E339" s="96">
        <f>IF(C339=0,0,VLOOKUP(B339,'sale resgister'!B:J,4,0))</f>
        <v>0</v>
      </c>
      <c r="F339" s="71">
        <f>DATE(YEAR(C339),MONTH(C339)+1,1)</f>
        <v>32</v>
      </c>
      <c r="G339" s="72">
        <f>E339</f>
        <v>0</v>
      </c>
      <c r="H339" s="57">
        <f t="shared" ref="H339:H350" si="337">ROUND(+G339*$H$1,3)</f>
        <v>0</v>
      </c>
      <c r="I339" s="73">
        <f t="shared" ref="I339:I350" si="338">IFERROR(+VLOOKUP(F339,$W$3:$X$15,2,0),0)</f>
        <v>0</v>
      </c>
      <c r="J339" s="74">
        <v>22</v>
      </c>
      <c r="K339" s="57">
        <f t="shared" ref="K339:K350" si="339">ROUND(+H339*97%,3)</f>
        <v>0</v>
      </c>
      <c r="L339" s="75">
        <f t="shared" ref="L339:L350" si="340">(K339-H339*92%)*I339</f>
        <v>0</v>
      </c>
      <c r="M339" s="76">
        <f t="shared" ref="M339:M350" si="341">ROUND(I339*92%*H339,2)</f>
        <v>0</v>
      </c>
      <c r="N339" s="76">
        <f t="shared" ref="N339:N350" si="342">ROUND(+M339*0.11,2)</f>
        <v>0</v>
      </c>
      <c r="O339" s="77">
        <f t="shared" ref="O339:O350" si="343">+N339-L339</f>
        <v>0</v>
      </c>
      <c r="P339" s="77">
        <f t="shared" ref="P339:P350" si="344">ROUND(+O339*15%,2)</f>
        <v>0</v>
      </c>
      <c r="Q339" s="76">
        <f t="shared" ref="Q339:Q350" si="345">ROUND(+(O339-P339)*60%,2)</f>
        <v>0</v>
      </c>
      <c r="R339" s="76">
        <f t="shared" ref="R339:R350" si="346">ROUND(+(O339-P339)*40%,2)</f>
        <v>0</v>
      </c>
      <c r="S339" s="57">
        <f t="shared" ref="S339:S350" si="347">IFERROR(ROUND(+Q339/(I339/92%),3),0)</f>
        <v>0</v>
      </c>
    </row>
    <row r="340" spans="1:19" x14ac:dyDescent="0.4">
      <c r="A340" s="57"/>
      <c r="B340" s="57" t="str">
        <f t="shared" ref="B340:B350" si="348">+B339</f>
        <v>BAN2015</v>
      </c>
      <c r="C340" s="57"/>
      <c r="D340" s="57"/>
      <c r="E340" s="57"/>
      <c r="F340" s="71">
        <f t="shared" ref="F340:F350" si="349">IF(+DATE(YEAR(F339),MONTH(F339)+1,1)&gt;$G$1+1,0,+DATE(YEAR(F339),MONTH(F339)+1,1))</f>
        <v>61</v>
      </c>
      <c r="G340" s="72">
        <f t="shared" ref="G340:G350" si="350">ROUND(IF(F340=0,0,(G339+S339)),3)</f>
        <v>0</v>
      </c>
      <c r="H340" s="57">
        <f t="shared" si="337"/>
        <v>0</v>
      </c>
      <c r="I340" s="73">
        <f t="shared" si="338"/>
        <v>0</v>
      </c>
      <c r="J340" s="74">
        <v>22</v>
      </c>
      <c r="K340" s="57">
        <f t="shared" si="339"/>
        <v>0</v>
      </c>
      <c r="L340" s="75">
        <f t="shared" si="340"/>
        <v>0</v>
      </c>
      <c r="M340" s="76">
        <f t="shared" si="341"/>
        <v>0</v>
      </c>
      <c r="N340" s="76">
        <f t="shared" si="342"/>
        <v>0</v>
      </c>
      <c r="O340" s="77">
        <f t="shared" si="343"/>
        <v>0</v>
      </c>
      <c r="P340" s="77">
        <f t="shared" si="344"/>
        <v>0</v>
      </c>
      <c r="Q340" s="76">
        <f t="shared" si="345"/>
        <v>0</v>
      </c>
      <c r="R340" s="76">
        <f t="shared" si="346"/>
        <v>0</v>
      </c>
      <c r="S340" s="57">
        <f t="shared" si="347"/>
        <v>0</v>
      </c>
    </row>
    <row r="341" spans="1:19" x14ac:dyDescent="0.4">
      <c r="A341" s="57"/>
      <c r="B341" s="57" t="str">
        <f t="shared" si="348"/>
        <v>BAN2015</v>
      </c>
      <c r="C341" s="57"/>
      <c r="D341" s="57"/>
      <c r="E341" s="71"/>
      <c r="F341" s="71">
        <f t="shared" si="349"/>
        <v>92</v>
      </c>
      <c r="G341" s="72">
        <f t="shared" si="350"/>
        <v>0</v>
      </c>
      <c r="H341" s="57">
        <f t="shared" si="337"/>
        <v>0</v>
      </c>
      <c r="I341" s="73">
        <f t="shared" si="338"/>
        <v>0</v>
      </c>
      <c r="J341" s="74">
        <v>22</v>
      </c>
      <c r="K341" s="57">
        <f t="shared" si="339"/>
        <v>0</v>
      </c>
      <c r="L341" s="75">
        <f t="shared" si="340"/>
        <v>0</v>
      </c>
      <c r="M341" s="76">
        <f t="shared" si="341"/>
        <v>0</v>
      </c>
      <c r="N341" s="76">
        <f t="shared" si="342"/>
        <v>0</v>
      </c>
      <c r="O341" s="77">
        <f t="shared" si="343"/>
        <v>0</v>
      </c>
      <c r="P341" s="77">
        <f t="shared" si="344"/>
        <v>0</v>
      </c>
      <c r="Q341" s="76">
        <f t="shared" si="345"/>
        <v>0</v>
      </c>
      <c r="R341" s="76">
        <f t="shared" si="346"/>
        <v>0</v>
      </c>
      <c r="S341" s="57">
        <f t="shared" si="347"/>
        <v>0</v>
      </c>
    </row>
    <row r="342" spans="1:19" x14ac:dyDescent="0.4">
      <c r="A342" s="57"/>
      <c r="B342" s="57" t="str">
        <f t="shared" si="348"/>
        <v>BAN2015</v>
      </c>
      <c r="C342" s="57"/>
      <c r="D342" s="57"/>
      <c r="E342" s="57"/>
      <c r="F342" s="71">
        <f t="shared" si="349"/>
        <v>122</v>
      </c>
      <c r="G342" s="72">
        <f t="shared" si="350"/>
        <v>0</v>
      </c>
      <c r="H342" s="57">
        <f t="shared" si="337"/>
        <v>0</v>
      </c>
      <c r="I342" s="73">
        <f t="shared" si="338"/>
        <v>0</v>
      </c>
      <c r="J342" s="74">
        <v>22</v>
      </c>
      <c r="K342" s="57">
        <f t="shared" si="339"/>
        <v>0</v>
      </c>
      <c r="L342" s="75">
        <f t="shared" si="340"/>
        <v>0</v>
      </c>
      <c r="M342" s="76">
        <f t="shared" si="341"/>
        <v>0</v>
      </c>
      <c r="N342" s="76">
        <f t="shared" si="342"/>
        <v>0</v>
      </c>
      <c r="O342" s="77">
        <f t="shared" si="343"/>
        <v>0</v>
      </c>
      <c r="P342" s="77">
        <f t="shared" si="344"/>
        <v>0</v>
      </c>
      <c r="Q342" s="76">
        <f t="shared" si="345"/>
        <v>0</v>
      </c>
      <c r="R342" s="76">
        <f t="shared" si="346"/>
        <v>0</v>
      </c>
      <c r="S342" s="57">
        <f t="shared" si="347"/>
        <v>0</v>
      </c>
    </row>
    <row r="343" spans="1:19" x14ac:dyDescent="0.4">
      <c r="A343" s="57"/>
      <c r="B343" s="57" t="str">
        <f t="shared" si="348"/>
        <v>BAN2015</v>
      </c>
      <c r="C343" s="71"/>
      <c r="D343" s="57"/>
      <c r="E343" s="57"/>
      <c r="F343" s="71">
        <f t="shared" si="349"/>
        <v>153</v>
      </c>
      <c r="G343" s="72">
        <f t="shared" si="350"/>
        <v>0</v>
      </c>
      <c r="H343" s="57">
        <f t="shared" si="337"/>
        <v>0</v>
      </c>
      <c r="I343" s="73">
        <f t="shared" si="338"/>
        <v>0</v>
      </c>
      <c r="J343" s="74">
        <v>22</v>
      </c>
      <c r="K343" s="57">
        <f t="shared" si="339"/>
        <v>0</v>
      </c>
      <c r="L343" s="75">
        <f t="shared" si="340"/>
        <v>0</v>
      </c>
      <c r="M343" s="76">
        <f t="shared" si="341"/>
        <v>0</v>
      </c>
      <c r="N343" s="76">
        <f t="shared" si="342"/>
        <v>0</v>
      </c>
      <c r="O343" s="77">
        <f t="shared" si="343"/>
        <v>0</v>
      </c>
      <c r="P343" s="77">
        <f t="shared" si="344"/>
        <v>0</v>
      </c>
      <c r="Q343" s="76">
        <f t="shared" si="345"/>
        <v>0</v>
      </c>
      <c r="R343" s="76">
        <f t="shared" si="346"/>
        <v>0</v>
      </c>
      <c r="S343" s="57">
        <f t="shared" si="347"/>
        <v>0</v>
      </c>
    </row>
    <row r="344" spans="1:19" x14ac:dyDescent="0.4">
      <c r="A344" s="57"/>
      <c r="B344" s="57" t="str">
        <f t="shared" si="348"/>
        <v>BAN2015</v>
      </c>
      <c r="C344" s="57"/>
      <c r="D344" s="57"/>
      <c r="E344" s="57"/>
      <c r="F344" s="71">
        <f t="shared" si="349"/>
        <v>183</v>
      </c>
      <c r="G344" s="72">
        <f t="shared" si="350"/>
        <v>0</v>
      </c>
      <c r="H344" s="57">
        <f t="shared" si="337"/>
        <v>0</v>
      </c>
      <c r="I344" s="73">
        <f t="shared" si="338"/>
        <v>0</v>
      </c>
      <c r="J344" s="74">
        <v>22</v>
      </c>
      <c r="K344" s="57">
        <f t="shared" si="339"/>
        <v>0</v>
      </c>
      <c r="L344" s="75">
        <f t="shared" si="340"/>
        <v>0</v>
      </c>
      <c r="M344" s="76">
        <f t="shared" si="341"/>
        <v>0</v>
      </c>
      <c r="N344" s="76">
        <f t="shared" si="342"/>
        <v>0</v>
      </c>
      <c r="O344" s="77">
        <f t="shared" si="343"/>
        <v>0</v>
      </c>
      <c r="P344" s="77">
        <f t="shared" si="344"/>
        <v>0</v>
      </c>
      <c r="Q344" s="76">
        <f t="shared" si="345"/>
        <v>0</v>
      </c>
      <c r="R344" s="76">
        <f t="shared" si="346"/>
        <v>0</v>
      </c>
      <c r="S344" s="57">
        <f t="shared" si="347"/>
        <v>0</v>
      </c>
    </row>
    <row r="345" spans="1:19" x14ac:dyDescent="0.4">
      <c r="A345" s="57"/>
      <c r="B345" s="57" t="str">
        <f t="shared" si="348"/>
        <v>BAN2015</v>
      </c>
      <c r="C345" s="57"/>
      <c r="D345" s="57"/>
      <c r="E345" s="57"/>
      <c r="F345" s="71">
        <f t="shared" si="349"/>
        <v>214</v>
      </c>
      <c r="G345" s="72">
        <f t="shared" si="350"/>
        <v>0</v>
      </c>
      <c r="H345" s="57">
        <f t="shared" si="337"/>
        <v>0</v>
      </c>
      <c r="I345" s="73">
        <f t="shared" si="338"/>
        <v>0</v>
      </c>
      <c r="J345" s="74">
        <v>22</v>
      </c>
      <c r="K345" s="57">
        <f t="shared" si="339"/>
        <v>0</v>
      </c>
      <c r="L345" s="75">
        <f t="shared" si="340"/>
        <v>0</v>
      </c>
      <c r="M345" s="76">
        <f t="shared" si="341"/>
        <v>0</v>
      </c>
      <c r="N345" s="76">
        <f t="shared" si="342"/>
        <v>0</v>
      </c>
      <c r="O345" s="77">
        <f t="shared" si="343"/>
        <v>0</v>
      </c>
      <c r="P345" s="77">
        <f t="shared" si="344"/>
        <v>0</v>
      </c>
      <c r="Q345" s="76">
        <f t="shared" si="345"/>
        <v>0</v>
      </c>
      <c r="R345" s="76">
        <f t="shared" si="346"/>
        <v>0</v>
      </c>
      <c r="S345" s="57">
        <f t="shared" si="347"/>
        <v>0</v>
      </c>
    </row>
    <row r="346" spans="1:19" x14ac:dyDescent="0.4">
      <c r="A346" s="57"/>
      <c r="B346" s="57" t="str">
        <f t="shared" si="348"/>
        <v>BAN2015</v>
      </c>
      <c r="C346" s="57"/>
      <c r="D346" s="79"/>
      <c r="E346" s="57"/>
      <c r="F346" s="71">
        <f t="shared" si="349"/>
        <v>245</v>
      </c>
      <c r="G346" s="72">
        <f t="shared" si="350"/>
        <v>0</v>
      </c>
      <c r="H346" s="57">
        <f t="shared" si="337"/>
        <v>0</v>
      </c>
      <c r="I346" s="73">
        <f t="shared" si="338"/>
        <v>0</v>
      </c>
      <c r="J346" s="74">
        <v>22</v>
      </c>
      <c r="K346" s="57">
        <f t="shared" si="339"/>
        <v>0</v>
      </c>
      <c r="L346" s="75">
        <f t="shared" si="340"/>
        <v>0</v>
      </c>
      <c r="M346" s="76">
        <f t="shared" si="341"/>
        <v>0</v>
      </c>
      <c r="N346" s="76">
        <f t="shared" si="342"/>
        <v>0</v>
      </c>
      <c r="O346" s="77">
        <f t="shared" si="343"/>
        <v>0</v>
      </c>
      <c r="P346" s="77">
        <f t="shared" si="344"/>
        <v>0</v>
      </c>
      <c r="Q346" s="76">
        <f t="shared" si="345"/>
        <v>0</v>
      </c>
      <c r="R346" s="76">
        <f t="shared" si="346"/>
        <v>0</v>
      </c>
      <c r="S346" s="57">
        <f t="shared" si="347"/>
        <v>0</v>
      </c>
    </row>
    <row r="347" spans="1:19" x14ac:dyDescent="0.4">
      <c r="A347" s="57"/>
      <c r="B347" s="57" t="str">
        <f t="shared" si="348"/>
        <v>BAN2015</v>
      </c>
      <c r="C347" s="57"/>
      <c r="D347" s="79"/>
      <c r="E347" s="57"/>
      <c r="F347" s="71">
        <f t="shared" si="349"/>
        <v>275</v>
      </c>
      <c r="G347" s="72">
        <f t="shared" si="350"/>
        <v>0</v>
      </c>
      <c r="H347" s="57">
        <f t="shared" si="337"/>
        <v>0</v>
      </c>
      <c r="I347" s="73">
        <f t="shared" si="338"/>
        <v>0</v>
      </c>
      <c r="J347" s="74">
        <v>22</v>
      </c>
      <c r="K347" s="57">
        <f t="shared" si="339"/>
        <v>0</v>
      </c>
      <c r="L347" s="75">
        <f t="shared" si="340"/>
        <v>0</v>
      </c>
      <c r="M347" s="76">
        <f t="shared" si="341"/>
        <v>0</v>
      </c>
      <c r="N347" s="76">
        <f t="shared" si="342"/>
        <v>0</v>
      </c>
      <c r="O347" s="77">
        <f t="shared" si="343"/>
        <v>0</v>
      </c>
      <c r="P347" s="77">
        <f t="shared" si="344"/>
        <v>0</v>
      </c>
      <c r="Q347" s="76">
        <f t="shared" si="345"/>
        <v>0</v>
      </c>
      <c r="R347" s="76">
        <f t="shared" si="346"/>
        <v>0</v>
      </c>
      <c r="S347" s="57">
        <f t="shared" si="347"/>
        <v>0</v>
      </c>
    </row>
    <row r="348" spans="1:19" x14ac:dyDescent="0.4">
      <c r="A348" s="57"/>
      <c r="B348" s="57" t="str">
        <f t="shared" si="348"/>
        <v>BAN2015</v>
      </c>
      <c r="C348" s="57"/>
      <c r="D348" s="57"/>
      <c r="E348" s="57"/>
      <c r="F348" s="71">
        <f t="shared" si="349"/>
        <v>306</v>
      </c>
      <c r="G348" s="72">
        <f t="shared" si="350"/>
        <v>0</v>
      </c>
      <c r="H348" s="57">
        <f t="shared" si="337"/>
        <v>0</v>
      </c>
      <c r="I348" s="73">
        <f t="shared" si="338"/>
        <v>0</v>
      </c>
      <c r="J348" s="74">
        <v>22</v>
      </c>
      <c r="K348" s="57">
        <f t="shared" si="339"/>
        <v>0</v>
      </c>
      <c r="L348" s="75">
        <f t="shared" si="340"/>
        <v>0</v>
      </c>
      <c r="M348" s="76">
        <f t="shared" si="341"/>
        <v>0</v>
      </c>
      <c r="N348" s="76">
        <f t="shared" si="342"/>
        <v>0</v>
      </c>
      <c r="O348" s="77">
        <f t="shared" si="343"/>
        <v>0</v>
      </c>
      <c r="P348" s="77">
        <f t="shared" si="344"/>
        <v>0</v>
      </c>
      <c r="Q348" s="76">
        <f t="shared" si="345"/>
        <v>0</v>
      </c>
      <c r="R348" s="76">
        <f t="shared" si="346"/>
        <v>0</v>
      </c>
      <c r="S348" s="57">
        <f t="shared" si="347"/>
        <v>0</v>
      </c>
    </row>
    <row r="349" spans="1:19" x14ac:dyDescent="0.4">
      <c r="A349" s="57"/>
      <c r="B349" s="57" t="str">
        <f t="shared" si="348"/>
        <v>BAN2015</v>
      </c>
      <c r="C349" s="57"/>
      <c r="D349" s="57"/>
      <c r="E349" s="57"/>
      <c r="F349" s="71">
        <f t="shared" si="349"/>
        <v>336</v>
      </c>
      <c r="G349" s="72">
        <f t="shared" si="350"/>
        <v>0</v>
      </c>
      <c r="H349" s="57">
        <f t="shared" si="337"/>
        <v>0</v>
      </c>
      <c r="I349" s="73">
        <f t="shared" si="338"/>
        <v>0</v>
      </c>
      <c r="J349" s="74">
        <v>22</v>
      </c>
      <c r="K349" s="57">
        <f t="shared" si="339"/>
        <v>0</v>
      </c>
      <c r="L349" s="75">
        <f t="shared" si="340"/>
        <v>0</v>
      </c>
      <c r="M349" s="76">
        <f t="shared" si="341"/>
        <v>0</v>
      </c>
      <c r="N349" s="76">
        <f t="shared" si="342"/>
        <v>0</v>
      </c>
      <c r="O349" s="77">
        <f t="shared" si="343"/>
        <v>0</v>
      </c>
      <c r="P349" s="77">
        <f t="shared" si="344"/>
        <v>0</v>
      </c>
      <c r="Q349" s="76">
        <f t="shared" si="345"/>
        <v>0</v>
      </c>
      <c r="R349" s="76">
        <f t="shared" si="346"/>
        <v>0</v>
      </c>
      <c r="S349" s="57">
        <f t="shared" si="347"/>
        <v>0</v>
      </c>
    </row>
    <row r="350" spans="1:19" x14ac:dyDescent="0.4">
      <c r="A350" s="57"/>
      <c r="B350" s="57" t="str">
        <f t="shared" si="348"/>
        <v>BAN2015</v>
      </c>
      <c r="C350" s="57"/>
      <c r="D350" s="57"/>
      <c r="E350" s="57"/>
      <c r="F350" s="71">
        <f t="shared" si="349"/>
        <v>367</v>
      </c>
      <c r="G350" s="72">
        <f t="shared" si="350"/>
        <v>0</v>
      </c>
      <c r="H350" s="57">
        <f t="shared" si="337"/>
        <v>0</v>
      </c>
      <c r="I350" s="73">
        <f t="shared" si="338"/>
        <v>0</v>
      </c>
      <c r="J350" s="74">
        <v>22</v>
      </c>
      <c r="K350" s="57">
        <f t="shared" si="339"/>
        <v>0</v>
      </c>
      <c r="L350" s="75">
        <f t="shared" si="340"/>
        <v>0</v>
      </c>
      <c r="M350" s="76">
        <f t="shared" si="341"/>
        <v>0</v>
      </c>
      <c r="N350" s="76">
        <f t="shared" si="342"/>
        <v>0</v>
      </c>
      <c r="O350" s="77">
        <f t="shared" si="343"/>
        <v>0</v>
      </c>
      <c r="P350" s="77">
        <f t="shared" si="344"/>
        <v>0</v>
      </c>
      <c r="Q350" s="76">
        <f t="shared" si="345"/>
        <v>0</v>
      </c>
      <c r="R350" s="76">
        <f t="shared" si="346"/>
        <v>0</v>
      </c>
      <c r="S350" s="57">
        <f t="shared" si="347"/>
        <v>0</v>
      </c>
    </row>
    <row r="351" spans="1:19" x14ac:dyDescent="0.4">
      <c r="B351" s="57"/>
    </row>
    <row r="352" spans="1:19" ht="123" customHeight="1" x14ac:dyDescent="0.4">
      <c r="A352" s="69" t="s">
        <v>11</v>
      </c>
      <c r="B352" s="69" t="s">
        <v>11</v>
      </c>
      <c r="C352" s="69" t="s">
        <v>155</v>
      </c>
      <c r="D352" s="69" t="s">
        <v>158</v>
      </c>
      <c r="E352" s="69" t="s">
        <v>185</v>
      </c>
      <c r="F352" s="69" t="s">
        <v>186</v>
      </c>
      <c r="G352" s="70" t="s">
        <v>156</v>
      </c>
      <c r="H352" s="69" t="s">
        <v>187</v>
      </c>
      <c r="I352" s="69" t="s">
        <v>188</v>
      </c>
      <c r="J352" s="69" t="s">
        <v>158</v>
      </c>
      <c r="K352" s="69" t="s">
        <v>159</v>
      </c>
      <c r="L352" s="69" t="s">
        <v>160</v>
      </c>
      <c r="M352" s="69" t="s">
        <v>161</v>
      </c>
      <c r="N352" s="69" t="s">
        <v>162</v>
      </c>
      <c r="O352" s="69" t="s">
        <v>163</v>
      </c>
      <c r="P352" s="69" t="s">
        <v>164</v>
      </c>
      <c r="Q352" s="69" t="s">
        <v>165</v>
      </c>
      <c r="R352" s="69" t="s">
        <v>166</v>
      </c>
      <c r="S352" s="69" t="s">
        <v>189</v>
      </c>
    </row>
    <row r="353" spans="1:19" x14ac:dyDescent="0.4">
      <c r="A353" s="57">
        <f>+A339+1</f>
        <v>26</v>
      </c>
      <c r="B353" s="57" t="str">
        <f>INDEX('sale resgister'!B:B,A353+1,1)</f>
        <v>BRAC99558</v>
      </c>
      <c r="C353" s="71">
        <f>+VLOOKUP(B353,'sale resgister'!B:J,9,0)</f>
        <v>0</v>
      </c>
      <c r="D353" s="79" t="str">
        <f>+VLOOKUP(B353,'sale resgister'!B:J,2,0)</f>
        <v>Batch 3</v>
      </c>
      <c r="E353" s="96">
        <f>IF(C353=0,0,VLOOKUP(B353,'sale resgister'!B:J,4,0))</f>
        <v>0</v>
      </c>
      <c r="F353" s="71">
        <f>DATE(YEAR(C353),MONTH(C353)+1,1)</f>
        <v>32</v>
      </c>
      <c r="G353" s="72">
        <f>E353</f>
        <v>0</v>
      </c>
      <c r="H353" s="57">
        <f t="shared" ref="H353:H364" si="351">ROUND(+G353*$H$1,3)</f>
        <v>0</v>
      </c>
      <c r="I353" s="73">
        <f t="shared" ref="I353:I364" si="352">IFERROR(+VLOOKUP(F353,$W$3:$X$15,2,0),0)</f>
        <v>0</v>
      </c>
      <c r="J353" s="74">
        <v>22</v>
      </c>
      <c r="K353" s="57">
        <f t="shared" ref="K353:K364" si="353">ROUND(+H353*97%,3)</f>
        <v>0</v>
      </c>
      <c r="L353" s="75">
        <f t="shared" ref="L353:L364" si="354">(K353-H353*92%)*I353</f>
        <v>0</v>
      </c>
      <c r="M353" s="76">
        <f t="shared" ref="M353:M364" si="355">ROUND(I353*92%*H353,2)</f>
        <v>0</v>
      </c>
      <c r="N353" s="76">
        <f t="shared" ref="N353:N364" si="356">ROUND(+M353*0.11,2)</f>
        <v>0</v>
      </c>
      <c r="O353" s="77">
        <f t="shared" ref="O353:O364" si="357">+N353-L353</f>
        <v>0</v>
      </c>
      <c r="P353" s="77">
        <f t="shared" ref="P353:P364" si="358">ROUND(+O353*15%,2)</f>
        <v>0</v>
      </c>
      <c r="Q353" s="76">
        <f t="shared" ref="Q353:Q364" si="359">ROUND(+(O353-P353)*60%,2)</f>
        <v>0</v>
      </c>
      <c r="R353" s="76">
        <f t="shared" ref="R353:R364" si="360">ROUND(+(O353-P353)*40%,2)</f>
        <v>0</v>
      </c>
      <c r="S353" s="57">
        <f t="shared" ref="S353:S364" si="361">IFERROR(ROUND(+Q353/(I353/92%),3),0)</f>
        <v>0</v>
      </c>
    </row>
    <row r="354" spans="1:19" x14ac:dyDescent="0.4">
      <c r="A354" s="57"/>
      <c r="B354" s="57" t="str">
        <f t="shared" ref="B354:B364" si="362">+B353</f>
        <v>BRAC99558</v>
      </c>
      <c r="C354" s="57"/>
      <c r="D354" s="57"/>
      <c r="E354" s="57"/>
      <c r="F354" s="71">
        <f t="shared" ref="F354:F364" si="363">IF(+DATE(YEAR(F353),MONTH(F353)+1,1)&gt;$G$1+1,0,+DATE(YEAR(F353),MONTH(F353)+1,1))</f>
        <v>61</v>
      </c>
      <c r="G354" s="72">
        <f t="shared" ref="G354:G364" si="364">ROUND(IF(F354=0,0,(G353+S353)),3)</f>
        <v>0</v>
      </c>
      <c r="H354" s="57">
        <f t="shared" si="351"/>
        <v>0</v>
      </c>
      <c r="I354" s="73">
        <f t="shared" si="352"/>
        <v>0</v>
      </c>
      <c r="J354" s="74">
        <v>22</v>
      </c>
      <c r="K354" s="57">
        <f t="shared" si="353"/>
        <v>0</v>
      </c>
      <c r="L354" s="75">
        <f t="shared" si="354"/>
        <v>0</v>
      </c>
      <c r="M354" s="76">
        <f t="shared" si="355"/>
        <v>0</v>
      </c>
      <c r="N354" s="76">
        <f t="shared" si="356"/>
        <v>0</v>
      </c>
      <c r="O354" s="77">
        <f t="shared" si="357"/>
        <v>0</v>
      </c>
      <c r="P354" s="77">
        <f t="shared" si="358"/>
        <v>0</v>
      </c>
      <c r="Q354" s="76">
        <f t="shared" si="359"/>
        <v>0</v>
      </c>
      <c r="R354" s="76">
        <f t="shared" si="360"/>
        <v>0</v>
      </c>
      <c r="S354" s="57">
        <f t="shared" si="361"/>
        <v>0</v>
      </c>
    </row>
    <row r="355" spans="1:19" x14ac:dyDescent="0.4">
      <c r="A355" s="57"/>
      <c r="B355" s="57" t="str">
        <f t="shared" si="362"/>
        <v>BRAC99558</v>
      </c>
      <c r="C355" s="57"/>
      <c r="D355" s="57"/>
      <c r="E355" s="71"/>
      <c r="F355" s="71">
        <f t="shared" si="363"/>
        <v>92</v>
      </c>
      <c r="G355" s="72">
        <f t="shared" si="364"/>
        <v>0</v>
      </c>
      <c r="H355" s="57">
        <f t="shared" si="351"/>
        <v>0</v>
      </c>
      <c r="I355" s="73">
        <f t="shared" si="352"/>
        <v>0</v>
      </c>
      <c r="J355" s="74">
        <v>22</v>
      </c>
      <c r="K355" s="57">
        <f t="shared" si="353"/>
        <v>0</v>
      </c>
      <c r="L355" s="75">
        <f t="shared" si="354"/>
        <v>0</v>
      </c>
      <c r="M355" s="76">
        <f t="shared" si="355"/>
        <v>0</v>
      </c>
      <c r="N355" s="76">
        <f t="shared" si="356"/>
        <v>0</v>
      </c>
      <c r="O355" s="77">
        <f t="shared" si="357"/>
        <v>0</v>
      </c>
      <c r="P355" s="77">
        <f t="shared" si="358"/>
        <v>0</v>
      </c>
      <c r="Q355" s="76">
        <f t="shared" si="359"/>
        <v>0</v>
      </c>
      <c r="R355" s="76">
        <f t="shared" si="360"/>
        <v>0</v>
      </c>
      <c r="S355" s="57">
        <f t="shared" si="361"/>
        <v>0</v>
      </c>
    </row>
    <row r="356" spans="1:19" x14ac:dyDescent="0.4">
      <c r="A356" s="57"/>
      <c r="B356" s="57" t="str">
        <f t="shared" si="362"/>
        <v>BRAC99558</v>
      </c>
      <c r="C356" s="57"/>
      <c r="D356" s="57"/>
      <c r="E356" s="57"/>
      <c r="F356" s="71">
        <f t="shared" si="363"/>
        <v>122</v>
      </c>
      <c r="G356" s="72">
        <f t="shared" si="364"/>
        <v>0</v>
      </c>
      <c r="H356" s="57">
        <f t="shared" si="351"/>
        <v>0</v>
      </c>
      <c r="I356" s="73">
        <f t="shared" si="352"/>
        <v>0</v>
      </c>
      <c r="J356" s="74">
        <v>22</v>
      </c>
      <c r="K356" s="57">
        <f t="shared" si="353"/>
        <v>0</v>
      </c>
      <c r="L356" s="75">
        <f t="shared" si="354"/>
        <v>0</v>
      </c>
      <c r="M356" s="76">
        <f t="shared" si="355"/>
        <v>0</v>
      </c>
      <c r="N356" s="76">
        <f t="shared" si="356"/>
        <v>0</v>
      </c>
      <c r="O356" s="77">
        <f t="shared" si="357"/>
        <v>0</v>
      </c>
      <c r="P356" s="77">
        <f t="shared" si="358"/>
        <v>0</v>
      </c>
      <c r="Q356" s="76">
        <f t="shared" si="359"/>
        <v>0</v>
      </c>
      <c r="R356" s="76">
        <f t="shared" si="360"/>
        <v>0</v>
      </c>
      <c r="S356" s="57">
        <f t="shared" si="361"/>
        <v>0</v>
      </c>
    </row>
    <row r="357" spans="1:19" x14ac:dyDescent="0.4">
      <c r="A357" s="57"/>
      <c r="B357" s="57" t="str">
        <f t="shared" si="362"/>
        <v>BRAC99558</v>
      </c>
      <c r="C357" s="71"/>
      <c r="D357" s="57"/>
      <c r="E357" s="57"/>
      <c r="F357" s="71">
        <f t="shared" si="363"/>
        <v>153</v>
      </c>
      <c r="G357" s="72">
        <f t="shared" si="364"/>
        <v>0</v>
      </c>
      <c r="H357" s="57">
        <f t="shared" si="351"/>
        <v>0</v>
      </c>
      <c r="I357" s="73">
        <f t="shared" si="352"/>
        <v>0</v>
      </c>
      <c r="J357" s="74">
        <v>22</v>
      </c>
      <c r="K357" s="57">
        <f t="shared" si="353"/>
        <v>0</v>
      </c>
      <c r="L357" s="75">
        <f t="shared" si="354"/>
        <v>0</v>
      </c>
      <c r="M357" s="76">
        <f t="shared" si="355"/>
        <v>0</v>
      </c>
      <c r="N357" s="76">
        <f t="shared" si="356"/>
        <v>0</v>
      </c>
      <c r="O357" s="77">
        <f t="shared" si="357"/>
        <v>0</v>
      </c>
      <c r="P357" s="77">
        <f t="shared" si="358"/>
        <v>0</v>
      </c>
      <c r="Q357" s="76">
        <f t="shared" si="359"/>
        <v>0</v>
      </c>
      <c r="R357" s="76">
        <f t="shared" si="360"/>
        <v>0</v>
      </c>
      <c r="S357" s="57">
        <f t="shared" si="361"/>
        <v>0</v>
      </c>
    </row>
    <row r="358" spans="1:19" x14ac:dyDescent="0.4">
      <c r="A358" s="57"/>
      <c r="B358" s="57" t="str">
        <f t="shared" si="362"/>
        <v>BRAC99558</v>
      </c>
      <c r="C358" s="57"/>
      <c r="D358" s="57"/>
      <c r="E358" s="57"/>
      <c r="F358" s="71">
        <f t="shared" si="363"/>
        <v>183</v>
      </c>
      <c r="G358" s="72">
        <f t="shared" si="364"/>
        <v>0</v>
      </c>
      <c r="H358" s="57">
        <f t="shared" si="351"/>
        <v>0</v>
      </c>
      <c r="I358" s="73">
        <f t="shared" si="352"/>
        <v>0</v>
      </c>
      <c r="J358" s="74">
        <v>22</v>
      </c>
      <c r="K358" s="57">
        <f t="shared" si="353"/>
        <v>0</v>
      </c>
      <c r="L358" s="75">
        <f t="shared" si="354"/>
        <v>0</v>
      </c>
      <c r="M358" s="76">
        <f t="shared" si="355"/>
        <v>0</v>
      </c>
      <c r="N358" s="76">
        <f t="shared" si="356"/>
        <v>0</v>
      </c>
      <c r="O358" s="77">
        <f t="shared" si="357"/>
        <v>0</v>
      </c>
      <c r="P358" s="77">
        <f t="shared" si="358"/>
        <v>0</v>
      </c>
      <c r="Q358" s="76">
        <f t="shared" si="359"/>
        <v>0</v>
      </c>
      <c r="R358" s="76">
        <f t="shared" si="360"/>
        <v>0</v>
      </c>
      <c r="S358" s="57">
        <f t="shared" si="361"/>
        <v>0</v>
      </c>
    </row>
    <row r="359" spans="1:19" x14ac:dyDescent="0.4">
      <c r="A359" s="57"/>
      <c r="B359" s="57" t="str">
        <f t="shared" si="362"/>
        <v>BRAC99558</v>
      </c>
      <c r="C359" s="57"/>
      <c r="D359" s="57"/>
      <c r="E359" s="57"/>
      <c r="F359" s="71">
        <f t="shared" si="363"/>
        <v>214</v>
      </c>
      <c r="G359" s="72">
        <f t="shared" si="364"/>
        <v>0</v>
      </c>
      <c r="H359" s="57">
        <f t="shared" si="351"/>
        <v>0</v>
      </c>
      <c r="I359" s="73">
        <f t="shared" si="352"/>
        <v>0</v>
      </c>
      <c r="J359" s="74">
        <v>22</v>
      </c>
      <c r="K359" s="57">
        <f t="shared" si="353"/>
        <v>0</v>
      </c>
      <c r="L359" s="75">
        <f t="shared" si="354"/>
        <v>0</v>
      </c>
      <c r="M359" s="76">
        <f t="shared" si="355"/>
        <v>0</v>
      </c>
      <c r="N359" s="76">
        <f t="shared" si="356"/>
        <v>0</v>
      </c>
      <c r="O359" s="77">
        <f t="shared" si="357"/>
        <v>0</v>
      </c>
      <c r="P359" s="77">
        <f t="shared" si="358"/>
        <v>0</v>
      </c>
      <c r="Q359" s="76">
        <f t="shared" si="359"/>
        <v>0</v>
      </c>
      <c r="R359" s="76">
        <f t="shared" si="360"/>
        <v>0</v>
      </c>
      <c r="S359" s="57">
        <f t="shared" si="361"/>
        <v>0</v>
      </c>
    </row>
    <row r="360" spans="1:19" x14ac:dyDescent="0.4">
      <c r="A360" s="57"/>
      <c r="B360" s="57" t="str">
        <f t="shared" si="362"/>
        <v>BRAC99558</v>
      </c>
      <c r="C360" s="57"/>
      <c r="D360" s="79"/>
      <c r="E360" s="57"/>
      <c r="F360" s="71">
        <f t="shared" si="363"/>
        <v>245</v>
      </c>
      <c r="G360" s="72">
        <f t="shared" si="364"/>
        <v>0</v>
      </c>
      <c r="H360" s="57">
        <f t="shared" si="351"/>
        <v>0</v>
      </c>
      <c r="I360" s="73">
        <f t="shared" si="352"/>
        <v>0</v>
      </c>
      <c r="J360" s="74">
        <v>22</v>
      </c>
      <c r="K360" s="57">
        <f t="shared" si="353"/>
        <v>0</v>
      </c>
      <c r="L360" s="75">
        <f t="shared" si="354"/>
        <v>0</v>
      </c>
      <c r="M360" s="76">
        <f t="shared" si="355"/>
        <v>0</v>
      </c>
      <c r="N360" s="76">
        <f t="shared" si="356"/>
        <v>0</v>
      </c>
      <c r="O360" s="77">
        <f t="shared" si="357"/>
        <v>0</v>
      </c>
      <c r="P360" s="77">
        <f t="shared" si="358"/>
        <v>0</v>
      </c>
      <c r="Q360" s="76">
        <f t="shared" si="359"/>
        <v>0</v>
      </c>
      <c r="R360" s="76">
        <f t="shared" si="360"/>
        <v>0</v>
      </c>
      <c r="S360" s="57">
        <f t="shared" si="361"/>
        <v>0</v>
      </c>
    </row>
    <row r="361" spans="1:19" x14ac:dyDescent="0.4">
      <c r="A361" s="57"/>
      <c r="B361" s="57" t="str">
        <f t="shared" si="362"/>
        <v>BRAC99558</v>
      </c>
      <c r="C361" s="57"/>
      <c r="D361" s="79"/>
      <c r="E361" s="57"/>
      <c r="F361" s="71">
        <f t="shared" si="363"/>
        <v>275</v>
      </c>
      <c r="G361" s="72">
        <f t="shared" si="364"/>
        <v>0</v>
      </c>
      <c r="H361" s="57">
        <f t="shared" si="351"/>
        <v>0</v>
      </c>
      <c r="I361" s="73">
        <f t="shared" si="352"/>
        <v>0</v>
      </c>
      <c r="J361" s="74">
        <v>22</v>
      </c>
      <c r="K361" s="57">
        <f t="shared" si="353"/>
        <v>0</v>
      </c>
      <c r="L361" s="75">
        <f t="shared" si="354"/>
        <v>0</v>
      </c>
      <c r="M361" s="76">
        <f t="shared" si="355"/>
        <v>0</v>
      </c>
      <c r="N361" s="76">
        <f t="shared" si="356"/>
        <v>0</v>
      </c>
      <c r="O361" s="77">
        <f t="shared" si="357"/>
        <v>0</v>
      </c>
      <c r="P361" s="77">
        <f t="shared" si="358"/>
        <v>0</v>
      </c>
      <c r="Q361" s="76">
        <f t="shared" si="359"/>
        <v>0</v>
      </c>
      <c r="R361" s="76">
        <f t="shared" si="360"/>
        <v>0</v>
      </c>
      <c r="S361" s="57">
        <f t="shared" si="361"/>
        <v>0</v>
      </c>
    </row>
    <row r="362" spans="1:19" x14ac:dyDescent="0.4">
      <c r="A362" s="57"/>
      <c r="B362" s="57" t="str">
        <f t="shared" si="362"/>
        <v>BRAC99558</v>
      </c>
      <c r="C362" s="57"/>
      <c r="D362" s="57"/>
      <c r="E362" s="57"/>
      <c r="F362" s="71">
        <f t="shared" si="363"/>
        <v>306</v>
      </c>
      <c r="G362" s="72">
        <f t="shared" si="364"/>
        <v>0</v>
      </c>
      <c r="H362" s="57">
        <f t="shared" si="351"/>
        <v>0</v>
      </c>
      <c r="I362" s="73">
        <f t="shared" si="352"/>
        <v>0</v>
      </c>
      <c r="J362" s="74">
        <v>22</v>
      </c>
      <c r="K362" s="57">
        <f t="shared" si="353"/>
        <v>0</v>
      </c>
      <c r="L362" s="75">
        <f t="shared" si="354"/>
        <v>0</v>
      </c>
      <c r="M362" s="76">
        <f t="shared" si="355"/>
        <v>0</v>
      </c>
      <c r="N362" s="76">
        <f t="shared" si="356"/>
        <v>0</v>
      </c>
      <c r="O362" s="77">
        <f t="shared" si="357"/>
        <v>0</v>
      </c>
      <c r="P362" s="77">
        <f t="shared" si="358"/>
        <v>0</v>
      </c>
      <c r="Q362" s="76">
        <f t="shared" si="359"/>
        <v>0</v>
      </c>
      <c r="R362" s="76">
        <f t="shared" si="360"/>
        <v>0</v>
      </c>
      <c r="S362" s="57">
        <f t="shared" si="361"/>
        <v>0</v>
      </c>
    </row>
    <row r="363" spans="1:19" x14ac:dyDescent="0.4">
      <c r="A363" s="57"/>
      <c r="B363" s="57" t="str">
        <f t="shared" si="362"/>
        <v>BRAC99558</v>
      </c>
      <c r="C363" s="57"/>
      <c r="D363" s="57"/>
      <c r="E363" s="57"/>
      <c r="F363" s="71">
        <f t="shared" si="363"/>
        <v>336</v>
      </c>
      <c r="G363" s="72">
        <f t="shared" si="364"/>
        <v>0</v>
      </c>
      <c r="H363" s="57">
        <f t="shared" si="351"/>
        <v>0</v>
      </c>
      <c r="I363" s="73">
        <f t="shared" si="352"/>
        <v>0</v>
      </c>
      <c r="J363" s="74">
        <v>22</v>
      </c>
      <c r="K363" s="57">
        <f t="shared" si="353"/>
        <v>0</v>
      </c>
      <c r="L363" s="75">
        <f t="shared" si="354"/>
        <v>0</v>
      </c>
      <c r="M363" s="76">
        <f t="shared" si="355"/>
        <v>0</v>
      </c>
      <c r="N363" s="76">
        <f t="shared" si="356"/>
        <v>0</v>
      </c>
      <c r="O363" s="77">
        <f t="shared" si="357"/>
        <v>0</v>
      </c>
      <c r="P363" s="77">
        <f t="shared" si="358"/>
        <v>0</v>
      </c>
      <c r="Q363" s="76">
        <f t="shared" si="359"/>
        <v>0</v>
      </c>
      <c r="R363" s="76">
        <f t="shared" si="360"/>
        <v>0</v>
      </c>
      <c r="S363" s="57">
        <f t="shared" si="361"/>
        <v>0</v>
      </c>
    </row>
    <row r="364" spans="1:19" x14ac:dyDescent="0.4">
      <c r="A364" s="57"/>
      <c r="B364" s="57" t="str">
        <f t="shared" si="362"/>
        <v>BRAC99558</v>
      </c>
      <c r="C364" s="57"/>
      <c r="D364" s="57"/>
      <c r="E364" s="57"/>
      <c r="F364" s="71">
        <f t="shared" si="363"/>
        <v>367</v>
      </c>
      <c r="G364" s="72">
        <f t="shared" si="364"/>
        <v>0</v>
      </c>
      <c r="H364" s="57">
        <f t="shared" si="351"/>
        <v>0</v>
      </c>
      <c r="I364" s="73">
        <f t="shared" si="352"/>
        <v>0</v>
      </c>
      <c r="J364" s="74">
        <v>22</v>
      </c>
      <c r="K364" s="57">
        <f t="shared" si="353"/>
        <v>0</v>
      </c>
      <c r="L364" s="75">
        <f t="shared" si="354"/>
        <v>0</v>
      </c>
      <c r="M364" s="76">
        <f t="shared" si="355"/>
        <v>0</v>
      </c>
      <c r="N364" s="76">
        <f t="shared" si="356"/>
        <v>0</v>
      </c>
      <c r="O364" s="77">
        <f t="shared" si="357"/>
        <v>0</v>
      </c>
      <c r="P364" s="77">
        <f t="shared" si="358"/>
        <v>0</v>
      </c>
      <c r="Q364" s="76">
        <f t="shared" si="359"/>
        <v>0</v>
      </c>
      <c r="R364" s="76">
        <f t="shared" si="360"/>
        <v>0</v>
      </c>
      <c r="S364" s="57">
        <f t="shared" si="361"/>
        <v>0</v>
      </c>
    </row>
    <row r="365" spans="1:19" x14ac:dyDescent="0.4">
      <c r="B365" s="57"/>
    </row>
    <row r="366" spans="1:19" ht="123" customHeight="1" x14ac:dyDescent="0.4">
      <c r="A366" s="69" t="s">
        <v>11</v>
      </c>
      <c r="B366" s="69" t="s">
        <v>11</v>
      </c>
      <c r="C366" s="69" t="s">
        <v>155</v>
      </c>
      <c r="D366" s="69" t="s">
        <v>158</v>
      </c>
      <c r="E366" s="69" t="s">
        <v>185</v>
      </c>
      <c r="F366" s="69" t="s">
        <v>186</v>
      </c>
      <c r="G366" s="70" t="s">
        <v>156</v>
      </c>
      <c r="H366" s="69" t="s">
        <v>187</v>
      </c>
      <c r="I366" s="69" t="s">
        <v>188</v>
      </c>
      <c r="J366" s="69" t="s">
        <v>158</v>
      </c>
      <c r="K366" s="69" t="s">
        <v>159</v>
      </c>
      <c r="L366" s="69" t="s">
        <v>160</v>
      </c>
      <c r="M366" s="69" t="s">
        <v>161</v>
      </c>
      <c r="N366" s="69" t="s">
        <v>162</v>
      </c>
      <c r="O366" s="69" t="s">
        <v>163</v>
      </c>
      <c r="P366" s="69" t="s">
        <v>164</v>
      </c>
      <c r="Q366" s="69" t="s">
        <v>165</v>
      </c>
      <c r="R366" s="69" t="s">
        <v>166</v>
      </c>
      <c r="S366" s="69" t="s">
        <v>189</v>
      </c>
    </row>
    <row r="367" spans="1:19" x14ac:dyDescent="0.4">
      <c r="A367" s="57">
        <f>+A353+1</f>
        <v>27</v>
      </c>
      <c r="B367" s="57" t="str">
        <f>INDEX('sale resgister'!B:B,A367+1,1)</f>
        <v>BRAC99563</v>
      </c>
      <c r="C367" s="71">
        <f>+VLOOKUP(B367,'sale resgister'!B:J,9,0)</f>
        <v>0</v>
      </c>
      <c r="D367" s="79" t="str">
        <f>+VLOOKUP(B367,'sale resgister'!B:J,2,0)</f>
        <v>Batch 3</v>
      </c>
      <c r="E367" s="96">
        <f>IF(C367=0,0,VLOOKUP(B367,'sale resgister'!B:J,4,0))</f>
        <v>0</v>
      </c>
      <c r="F367" s="71">
        <f>DATE(YEAR(C367),MONTH(C367)+1,1)</f>
        <v>32</v>
      </c>
      <c r="G367" s="72">
        <f>E367</f>
        <v>0</v>
      </c>
      <c r="H367" s="57">
        <f t="shared" ref="H367:H378" si="365">ROUND(+G367*$H$1,3)</f>
        <v>0</v>
      </c>
      <c r="I367" s="73">
        <f t="shared" ref="I367:I378" si="366">IFERROR(+VLOOKUP(F367,$W$3:$X$15,2,0),0)</f>
        <v>0</v>
      </c>
      <c r="J367" s="74">
        <v>22</v>
      </c>
      <c r="K367" s="57">
        <f t="shared" ref="K367:K378" si="367">ROUND(+H367*97%,3)</f>
        <v>0</v>
      </c>
      <c r="L367" s="75">
        <f t="shared" ref="L367:L378" si="368">(K367-H367*92%)*I367</f>
        <v>0</v>
      </c>
      <c r="M367" s="76">
        <f t="shared" ref="M367:M378" si="369">ROUND(I367*92%*H367,2)</f>
        <v>0</v>
      </c>
      <c r="N367" s="76">
        <f t="shared" ref="N367:N378" si="370">ROUND(+M367*0.11,2)</f>
        <v>0</v>
      </c>
      <c r="O367" s="77">
        <f t="shared" ref="O367:O378" si="371">+N367-L367</f>
        <v>0</v>
      </c>
      <c r="P367" s="77">
        <f t="shared" ref="P367:P378" si="372">ROUND(+O367*15%,2)</f>
        <v>0</v>
      </c>
      <c r="Q367" s="76">
        <f t="shared" ref="Q367:Q378" si="373">ROUND(+(O367-P367)*60%,2)</f>
        <v>0</v>
      </c>
      <c r="R367" s="76">
        <f t="shared" ref="R367:R378" si="374">ROUND(+(O367-P367)*40%,2)</f>
        <v>0</v>
      </c>
      <c r="S367" s="57">
        <f t="shared" ref="S367:S378" si="375">IFERROR(ROUND(+Q367/(I367/92%),3),0)</f>
        <v>0</v>
      </c>
    </row>
    <row r="368" spans="1:19" x14ac:dyDescent="0.4">
      <c r="A368" s="57"/>
      <c r="B368" s="57" t="str">
        <f t="shared" ref="B368:B378" si="376">+B367</f>
        <v>BRAC99563</v>
      </c>
      <c r="C368" s="57"/>
      <c r="D368" s="57"/>
      <c r="E368" s="57"/>
      <c r="F368" s="71">
        <f t="shared" ref="F368:F378" si="377">IF(+DATE(YEAR(F367),MONTH(F367)+1,1)&gt;$G$1+1,0,+DATE(YEAR(F367),MONTH(F367)+1,1))</f>
        <v>61</v>
      </c>
      <c r="G368" s="72">
        <f t="shared" ref="G368:G378" si="378">ROUND(IF(F368=0,0,(G367+S367)),3)</f>
        <v>0</v>
      </c>
      <c r="H368" s="57">
        <f t="shared" si="365"/>
        <v>0</v>
      </c>
      <c r="I368" s="73">
        <f t="shared" si="366"/>
        <v>0</v>
      </c>
      <c r="J368" s="74">
        <v>22</v>
      </c>
      <c r="K368" s="57">
        <f t="shared" si="367"/>
        <v>0</v>
      </c>
      <c r="L368" s="75">
        <f t="shared" si="368"/>
        <v>0</v>
      </c>
      <c r="M368" s="76">
        <f t="shared" si="369"/>
        <v>0</v>
      </c>
      <c r="N368" s="76">
        <f t="shared" si="370"/>
        <v>0</v>
      </c>
      <c r="O368" s="77">
        <f t="shared" si="371"/>
        <v>0</v>
      </c>
      <c r="P368" s="77">
        <f t="shared" si="372"/>
        <v>0</v>
      </c>
      <c r="Q368" s="76">
        <f t="shared" si="373"/>
        <v>0</v>
      </c>
      <c r="R368" s="76">
        <f t="shared" si="374"/>
        <v>0</v>
      </c>
      <c r="S368" s="57">
        <f t="shared" si="375"/>
        <v>0</v>
      </c>
    </row>
    <row r="369" spans="1:19" x14ac:dyDescent="0.4">
      <c r="A369" s="57"/>
      <c r="B369" s="57" t="str">
        <f t="shared" si="376"/>
        <v>BRAC99563</v>
      </c>
      <c r="C369" s="57"/>
      <c r="D369" s="57"/>
      <c r="E369" s="71"/>
      <c r="F369" s="71">
        <f t="shared" si="377"/>
        <v>92</v>
      </c>
      <c r="G369" s="72">
        <f t="shared" si="378"/>
        <v>0</v>
      </c>
      <c r="H369" s="57">
        <f t="shared" si="365"/>
        <v>0</v>
      </c>
      <c r="I369" s="73">
        <f t="shared" si="366"/>
        <v>0</v>
      </c>
      <c r="J369" s="74">
        <v>22</v>
      </c>
      <c r="K369" s="57">
        <f t="shared" si="367"/>
        <v>0</v>
      </c>
      <c r="L369" s="75">
        <f t="shared" si="368"/>
        <v>0</v>
      </c>
      <c r="M369" s="76">
        <f t="shared" si="369"/>
        <v>0</v>
      </c>
      <c r="N369" s="76">
        <f t="shared" si="370"/>
        <v>0</v>
      </c>
      <c r="O369" s="77">
        <f t="shared" si="371"/>
        <v>0</v>
      </c>
      <c r="P369" s="77">
        <f t="shared" si="372"/>
        <v>0</v>
      </c>
      <c r="Q369" s="76">
        <f t="shared" si="373"/>
        <v>0</v>
      </c>
      <c r="R369" s="76">
        <f t="shared" si="374"/>
        <v>0</v>
      </c>
      <c r="S369" s="57">
        <f t="shared" si="375"/>
        <v>0</v>
      </c>
    </row>
    <row r="370" spans="1:19" x14ac:dyDescent="0.4">
      <c r="A370" s="57"/>
      <c r="B370" s="57" t="str">
        <f t="shared" si="376"/>
        <v>BRAC99563</v>
      </c>
      <c r="C370" s="57"/>
      <c r="D370" s="57"/>
      <c r="E370" s="57"/>
      <c r="F370" s="71">
        <f t="shared" si="377"/>
        <v>122</v>
      </c>
      <c r="G370" s="72">
        <f t="shared" si="378"/>
        <v>0</v>
      </c>
      <c r="H370" s="57">
        <f t="shared" si="365"/>
        <v>0</v>
      </c>
      <c r="I370" s="73">
        <f t="shared" si="366"/>
        <v>0</v>
      </c>
      <c r="J370" s="74">
        <v>22</v>
      </c>
      <c r="K370" s="57">
        <f t="shared" si="367"/>
        <v>0</v>
      </c>
      <c r="L370" s="75">
        <f t="shared" si="368"/>
        <v>0</v>
      </c>
      <c r="M370" s="76">
        <f t="shared" si="369"/>
        <v>0</v>
      </c>
      <c r="N370" s="76">
        <f t="shared" si="370"/>
        <v>0</v>
      </c>
      <c r="O370" s="77">
        <f t="shared" si="371"/>
        <v>0</v>
      </c>
      <c r="P370" s="77">
        <f t="shared" si="372"/>
        <v>0</v>
      </c>
      <c r="Q370" s="76">
        <f t="shared" si="373"/>
        <v>0</v>
      </c>
      <c r="R370" s="76">
        <f t="shared" si="374"/>
        <v>0</v>
      </c>
      <c r="S370" s="57">
        <f t="shared" si="375"/>
        <v>0</v>
      </c>
    </row>
    <row r="371" spans="1:19" x14ac:dyDescent="0.4">
      <c r="A371" s="57"/>
      <c r="B371" s="57" t="str">
        <f t="shared" si="376"/>
        <v>BRAC99563</v>
      </c>
      <c r="C371" s="71"/>
      <c r="D371" s="57"/>
      <c r="E371" s="57"/>
      <c r="F371" s="71">
        <f t="shared" si="377"/>
        <v>153</v>
      </c>
      <c r="G371" s="72">
        <f t="shared" si="378"/>
        <v>0</v>
      </c>
      <c r="H371" s="57">
        <f t="shared" si="365"/>
        <v>0</v>
      </c>
      <c r="I371" s="73">
        <f t="shared" si="366"/>
        <v>0</v>
      </c>
      <c r="J371" s="74">
        <v>22</v>
      </c>
      <c r="K371" s="57">
        <f t="shared" si="367"/>
        <v>0</v>
      </c>
      <c r="L371" s="75">
        <f t="shared" si="368"/>
        <v>0</v>
      </c>
      <c r="M371" s="76">
        <f t="shared" si="369"/>
        <v>0</v>
      </c>
      <c r="N371" s="76">
        <f t="shared" si="370"/>
        <v>0</v>
      </c>
      <c r="O371" s="77">
        <f t="shared" si="371"/>
        <v>0</v>
      </c>
      <c r="P371" s="77">
        <f t="shared" si="372"/>
        <v>0</v>
      </c>
      <c r="Q371" s="76">
        <f t="shared" si="373"/>
        <v>0</v>
      </c>
      <c r="R371" s="76">
        <f t="shared" si="374"/>
        <v>0</v>
      </c>
      <c r="S371" s="57">
        <f t="shared" si="375"/>
        <v>0</v>
      </c>
    </row>
    <row r="372" spans="1:19" x14ac:dyDescent="0.4">
      <c r="A372" s="57"/>
      <c r="B372" s="57" t="str">
        <f t="shared" si="376"/>
        <v>BRAC99563</v>
      </c>
      <c r="C372" s="57"/>
      <c r="D372" s="57"/>
      <c r="E372" s="57"/>
      <c r="F372" s="71">
        <f t="shared" si="377"/>
        <v>183</v>
      </c>
      <c r="G372" s="72">
        <f t="shared" si="378"/>
        <v>0</v>
      </c>
      <c r="H372" s="57">
        <f t="shared" si="365"/>
        <v>0</v>
      </c>
      <c r="I372" s="73">
        <f t="shared" si="366"/>
        <v>0</v>
      </c>
      <c r="J372" s="74">
        <v>22</v>
      </c>
      <c r="K372" s="57">
        <f t="shared" si="367"/>
        <v>0</v>
      </c>
      <c r="L372" s="75">
        <f t="shared" si="368"/>
        <v>0</v>
      </c>
      <c r="M372" s="76">
        <f t="shared" si="369"/>
        <v>0</v>
      </c>
      <c r="N372" s="76">
        <f t="shared" si="370"/>
        <v>0</v>
      </c>
      <c r="O372" s="77">
        <f t="shared" si="371"/>
        <v>0</v>
      </c>
      <c r="P372" s="77">
        <f t="shared" si="372"/>
        <v>0</v>
      </c>
      <c r="Q372" s="76">
        <f t="shared" si="373"/>
        <v>0</v>
      </c>
      <c r="R372" s="76">
        <f t="shared" si="374"/>
        <v>0</v>
      </c>
      <c r="S372" s="57">
        <f t="shared" si="375"/>
        <v>0</v>
      </c>
    </row>
    <row r="373" spans="1:19" x14ac:dyDescent="0.4">
      <c r="A373" s="57"/>
      <c r="B373" s="57" t="str">
        <f t="shared" si="376"/>
        <v>BRAC99563</v>
      </c>
      <c r="C373" s="57"/>
      <c r="D373" s="57"/>
      <c r="E373" s="57"/>
      <c r="F373" s="71">
        <f t="shared" si="377"/>
        <v>214</v>
      </c>
      <c r="G373" s="72">
        <f t="shared" si="378"/>
        <v>0</v>
      </c>
      <c r="H373" s="57">
        <f t="shared" si="365"/>
        <v>0</v>
      </c>
      <c r="I373" s="73">
        <f t="shared" si="366"/>
        <v>0</v>
      </c>
      <c r="J373" s="74">
        <v>22</v>
      </c>
      <c r="K373" s="57">
        <f t="shared" si="367"/>
        <v>0</v>
      </c>
      <c r="L373" s="75">
        <f t="shared" si="368"/>
        <v>0</v>
      </c>
      <c r="M373" s="76">
        <f t="shared" si="369"/>
        <v>0</v>
      </c>
      <c r="N373" s="76">
        <f t="shared" si="370"/>
        <v>0</v>
      </c>
      <c r="O373" s="77">
        <f t="shared" si="371"/>
        <v>0</v>
      </c>
      <c r="P373" s="77">
        <f t="shared" si="372"/>
        <v>0</v>
      </c>
      <c r="Q373" s="76">
        <f t="shared" si="373"/>
        <v>0</v>
      </c>
      <c r="R373" s="76">
        <f t="shared" si="374"/>
        <v>0</v>
      </c>
      <c r="S373" s="57">
        <f t="shared" si="375"/>
        <v>0</v>
      </c>
    </row>
    <row r="374" spans="1:19" x14ac:dyDescent="0.4">
      <c r="A374" s="57"/>
      <c r="B374" s="57" t="str">
        <f t="shared" si="376"/>
        <v>BRAC99563</v>
      </c>
      <c r="C374" s="57"/>
      <c r="D374" s="79"/>
      <c r="E374" s="57"/>
      <c r="F374" s="71">
        <f t="shared" si="377"/>
        <v>245</v>
      </c>
      <c r="G374" s="72">
        <f t="shared" si="378"/>
        <v>0</v>
      </c>
      <c r="H374" s="57">
        <f t="shared" si="365"/>
        <v>0</v>
      </c>
      <c r="I374" s="73">
        <f t="shared" si="366"/>
        <v>0</v>
      </c>
      <c r="J374" s="74">
        <v>22</v>
      </c>
      <c r="K374" s="57">
        <f t="shared" si="367"/>
        <v>0</v>
      </c>
      <c r="L374" s="75">
        <f t="shared" si="368"/>
        <v>0</v>
      </c>
      <c r="M374" s="76">
        <f t="shared" si="369"/>
        <v>0</v>
      </c>
      <c r="N374" s="76">
        <f t="shared" si="370"/>
        <v>0</v>
      </c>
      <c r="O374" s="77">
        <f t="shared" si="371"/>
        <v>0</v>
      </c>
      <c r="P374" s="77">
        <f t="shared" si="372"/>
        <v>0</v>
      </c>
      <c r="Q374" s="76">
        <f t="shared" si="373"/>
        <v>0</v>
      </c>
      <c r="R374" s="76">
        <f t="shared" si="374"/>
        <v>0</v>
      </c>
      <c r="S374" s="57">
        <f t="shared" si="375"/>
        <v>0</v>
      </c>
    </row>
    <row r="375" spans="1:19" x14ac:dyDescent="0.4">
      <c r="A375" s="57"/>
      <c r="B375" s="57" t="str">
        <f t="shared" si="376"/>
        <v>BRAC99563</v>
      </c>
      <c r="C375" s="57"/>
      <c r="D375" s="79"/>
      <c r="E375" s="57"/>
      <c r="F375" s="71">
        <f t="shared" si="377"/>
        <v>275</v>
      </c>
      <c r="G375" s="72">
        <f t="shared" si="378"/>
        <v>0</v>
      </c>
      <c r="H375" s="57">
        <f t="shared" si="365"/>
        <v>0</v>
      </c>
      <c r="I375" s="73">
        <f t="shared" si="366"/>
        <v>0</v>
      </c>
      <c r="J375" s="74">
        <v>22</v>
      </c>
      <c r="K375" s="57">
        <f t="shared" si="367"/>
        <v>0</v>
      </c>
      <c r="L375" s="75">
        <f t="shared" si="368"/>
        <v>0</v>
      </c>
      <c r="M375" s="76">
        <f t="shared" si="369"/>
        <v>0</v>
      </c>
      <c r="N375" s="76">
        <f t="shared" si="370"/>
        <v>0</v>
      </c>
      <c r="O375" s="77">
        <f t="shared" si="371"/>
        <v>0</v>
      </c>
      <c r="P375" s="77">
        <f t="shared" si="372"/>
        <v>0</v>
      </c>
      <c r="Q375" s="76">
        <f t="shared" si="373"/>
        <v>0</v>
      </c>
      <c r="R375" s="76">
        <f t="shared" si="374"/>
        <v>0</v>
      </c>
      <c r="S375" s="57">
        <f t="shared" si="375"/>
        <v>0</v>
      </c>
    </row>
    <row r="376" spans="1:19" x14ac:dyDescent="0.4">
      <c r="A376" s="57"/>
      <c r="B376" s="57" t="str">
        <f t="shared" si="376"/>
        <v>BRAC99563</v>
      </c>
      <c r="C376" s="57"/>
      <c r="D376" s="57"/>
      <c r="E376" s="57"/>
      <c r="F376" s="71">
        <f t="shared" si="377"/>
        <v>306</v>
      </c>
      <c r="G376" s="72">
        <f t="shared" si="378"/>
        <v>0</v>
      </c>
      <c r="H376" s="57">
        <f t="shared" si="365"/>
        <v>0</v>
      </c>
      <c r="I376" s="73">
        <f t="shared" si="366"/>
        <v>0</v>
      </c>
      <c r="J376" s="74">
        <v>22</v>
      </c>
      <c r="K376" s="57">
        <f t="shared" si="367"/>
        <v>0</v>
      </c>
      <c r="L376" s="75">
        <f t="shared" si="368"/>
        <v>0</v>
      </c>
      <c r="M376" s="76">
        <f t="shared" si="369"/>
        <v>0</v>
      </c>
      <c r="N376" s="76">
        <f t="shared" si="370"/>
        <v>0</v>
      </c>
      <c r="O376" s="77">
        <f t="shared" si="371"/>
        <v>0</v>
      </c>
      <c r="P376" s="77">
        <f t="shared" si="372"/>
        <v>0</v>
      </c>
      <c r="Q376" s="76">
        <f t="shared" si="373"/>
        <v>0</v>
      </c>
      <c r="R376" s="76">
        <f t="shared" si="374"/>
        <v>0</v>
      </c>
      <c r="S376" s="57">
        <f t="shared" si="375"/>
        <v>0</v>
      </c>
    </row>
    <row r="377" spans="1:19" x14ac:dyDescent="0.4">
      <c r="A377" s="57"/>
      <c r="B377" s="57" t="str">
        <f t="shared" si="376"/>
        <v>BRAC99563</v>
      </c>
      <c r="C377" s="57"/>
      <c r="D377" s="57"/>
      <c r="E377" s="57"/>
      <c r="F377" s="71">
        <f t="shared" si="377"/>
        <v>336</v>
      </c>
      <c r="G377" s="72">
        <f t="shared" si="378"/>
        <v>0</v>
      </c>
      <c r="H377" s="57">
        <f t="shared" si="365"/>
        <v>0</v>
      </c>
      <c r="I377" s="73">
        <f t="shared" si="366"/>
        <v>0</v>
      </c>
      <c r="J377" s="74">
        <v>22</v>
      </c>
      <c r="K377" s="57">
        <f t="shared" si="367"/>
        <v>0</v>
      </c>
      <c r="L377" s="75">
        <f t="shared" si="368"/>
        <v>0</v>
      </c>
      <c r="M377" s="76">
        <f t="shared" si="369"/>
        <v>0</v>
      </c>
      <c r="N377" s="76">
        <f t="shared" si="370"/>
        <v>0</v>
      </c>
      <c r="O377" s="77">
        <f t="shared" si="371"/>
        <v>0</v>
      </c>
      <c r="P377" s="77">
        <f t="shared" si="372"/>
        <v>0</v>
      </c>
      <c r="Q377" s="76">
        <f t="shared" si="373"/>
        <v>0</v>
      </c>
      <c r="R377" s="76">
        <f t="shared" si="374"/>
        <v>0</v>
      </c>
      <c r="S377" s="57">
        <f t="shared" si="375"/>
        <v>0</v>
      </c>
    </row>
    <row r="378" spans="1:19" x14ac:dyDescent="0.4">
      <c r="A378" s="57"/>
      <c r="B378" s="57" t="str">
        <f t="shared" si="376"/>
        <v>BRAC99563</v>
      </c>
      <c r="C378" s="57"/>
      <c r="D378" s="57"/>
      <c r="E378" s="57"/>
      <c r="F378" s="71">
        <f t="shared" si="377"/>
        <v>367</v>
      </c>
      <c r="G378" s="72">
        <f t="shared" si="378"/>
        <v>0</v>
      </c>
      <c r="H378" s="57">
        <f t="shared" si="365"/>
        <v>0</v>
      </c>
      <c r="I378" s="73">
        <f t="shared" si="366"/>
        <v>0</v>
      </c>
      <c r="J378" s="74">
        <v>22</v>
      </c>
      <c r="K378" s="57">
        <f t="shared" si="367"/>
        <v>0</v>
      </c>
      <c r="L378" s="75">
        <f t="shared" si="368"/>
        <v>0</v>
      </c>
      <c r="M378" s="76">
        <f t="shared" si="369"/>
        <v>0</v>
      </c>
      <c r="N378" s="76">
        <f t="shared" si="370"/>
        <v>0</v>
      </c>
      <c r="O378" s="77">
        <f t="shared" si="371"/>
        <v>0</v>
      </c>
      <c r="P378" s="77">
        <f t="shared" si="372"/>
        <v>0</v>
      </c>
      <c r="Q378" s="76">
        <f t="shared" si="373"/>
        <v>0</v>
      </c>
      <c r="R378" s="76">
        <f t="shared" si="374"/>
        <v>0</v>
      </c>
      <c r="S378" s="57">
        <f t="shared" si="375"/>
        <v>0</v>
      </c>
    </row>
    <row r="379" spans="1:19" x14ac:dyDescent="0.4">
      <c r="B379" s="57"/>
    </row>
    <row r="380" spans="1:19" ht="123" customHeight="1" x14ac:dyDescent="0.4">
      <c r="A380" s="69" t="s">
        <v>11</v>
      </c>
      <c r="B380" s="69" t="s">
        <v>11</v>
      </c>
      <c r="C380" s="69" t="s">
        <v>155</v>
      </c>
      <c r="D380" s="69" t="s">
        <v>158</v>
      </c>
      <c r="E380" s="69" t="s">
        <v>185</v>
      </c>
      <c r="F380" s="69" t="s">
        <v>186</v>
      </c>
      <c r="G380" s="70" t="s">
        <v>156</v>
      </c>
      <c r="H380" s="69" t="s">
        <v>187</v>
      </c>
      <c r="I380" s="69" t="s">
        <v>188</v>
      </c>
      <c r="J380" s="69" t="s">
        <v>158</v>
      </c>
      <c r="K380" s="69" t="s">
        <v>159</v>
      </c>
      <c r="L380" s="69" t="s">
        <v>160</v>
      </c>
      <c r="M380" s="69" t="s">
        <v>161</v>
      </c>
      <c r="N380" s="69" t="s">
        <v>162</v>
      </c>
      <c r="O380" s="69" t="s">
        <v>163</v>
      </c>
      <c r="P380" s="69" t="s">
        <v>164</v>
      </c>
      <c r="Q380" s="69" t="s">
        <v>165</v>
      </c>
      <c r="R380" s="69" t="s">
        <v>166</v>
      </c>
      <c r="S380" s="69" t="s">
        <v>189</v>
      </c>
    </row>
    <row r="381" spans="1:19" x14ac:dyDescent="0.4">
      <c r="A381" s="57">
        <f>+A367+1</f>
        <v>28</v>
      </c>
      <c r="B381" s="57" t="str">
        <f>INDEX('sale resgister'!B:B,A381+1,1)</f>
        <v>BRAC99560</v>
      </c>
      <c r="C381" s="71">
        <f>+VLOOKUP(B381,'sale resgister'!B:J,9,0)</f>
        <v>0</v>
      </c>
      <c r="D381" s="79" t="str">
        <f>+VLOOKUP(B381,'sale resgister'!B:J,2,0)</f>
        <v>Batch 3</v>
      </c>
      <c r="E381" s="96">
        <f>IF(C381=0,0,VLOOKUP(B381,'sale resgister'!B:J,4,0))</f>
        <v>0</v>
      </c>
      <c r="F381" s="71">
        <f>DATE(YEAR(C381),MONTH(C381)+1,1)</f>
        <v>32</v>
      </c>
      <c r="G381" s="72">
        <f>E381</f>
        <v>0</v>
      </c>
      <c r="H381" s="57">
        <f t="shared" ref="H381:H392" si="379">ROUND(+G381*$H$1,3)</f>
        <v>0</v>
      </c>
      <c r="I381" s="73">
        <f t="shared" ref="I381:I392" si="380">IFERROR(+VLOOKUP(F381,$W$3:$X$15,2,0),0)</f>
        <v>0</v>
      </c>
      <c r="J381" s="74">
        <v>22</v>
      </c>
      <c r="K381" s="57">
        <f t="shared" ref="K381:K392" si="381">ROUND(+H381*97%,3)</f>
        <v>0</v>
      </c>
      <c r="L381" s="75">
        <f t="shared" ref="L381:L392" si="382">(K381-H381*92%)*I381</f>
        <v>0</v>
      </c>
      <c r="M381" s="76">
        <f t="shared" ref="M381:M392" si="383">ROUND(I381*92%*H381,2)</f>
        <v>0</v>
      </c>
      <c r="N381" s="76">
        <f t="shared" ref="N381:N392" si="384">ROUND(+M381*0.11,2)</f>
        <v>0</v>
      </c>
      <c r="O381" s="77">
        <f t="shared" ref="O381:O392" si="385">+N381-L381</f>
        <v>0</v>
      </c>
      <c r="P381" s="77">
        <f t="shared" ref="P381:P392" si="386">ROUND(+O381*15%,2)</f>
        <v>0</v>
      </c>
      <c r="Q381" s="76">
        <f t="shared" ref="Q381:Q392" si="387">ROUND(+(O381-P381)*60%,2)</f>
        <v>0</v>
      </c>
      <c r="R381" s="76">
        <f t="shared" ref="R381:R392" si="388">ROUND(+(O381-P381)*40%,2)</f>
        <v>0</v>
      </c>
      <c r="S381" s="57">
        <f t="shared" ref="S381:S392" si="389">IFERROR(ROUND(+Q381/(I381/92%),3),0)</f>
        <v>0</v>
      </c>
    </row>
    <row r="382" spans="1:19" x14ac:dyDescent="0.4">
      <c r="A382" s="57"/>
      <c r="B382" s="57" t="str">
        <f t="shared" ref="B382:B392" si="390">+B381</f>
        <v>BRAC99560</v>
      </c>
      <c r="C382" s="57"/>
      <c r="D382" s="57"/>
      <c r="E382" s="57"/>
      <c r="F382" s="71">
        <f t="shared" ref="F382:F392" si="391">IF(+DATE(YEAR(F381),MONTH(F381)+1,1)&gt;$G$1+1,0,+DATE(YEAR(F381),MONTH(F381)+1,1))</f>
        <v>61</v>
      </c>
      <c r="G382" s="72">
        <f t="shared" ref="G382:G392" si="392">ROUND(IF(F382=0,0,(G381+S381)),3)</f>
        <v>0</v>
      </c>
      <c r="H382" s="57">
        <f t="shared" si="379"/>
        <v>0</v>
      </c>
      <c r="I382" s="73">
        <f t="shared" si="380"/>
        <v>0</v>
      </c>
      <c r="J382" s="74">
        <v>22</v>
      </c>
      <c r="K382" s="57">
        <f t="shared" si="381"/>
        <v>0</v>
      </c>
      <c r="L382" s="75">
        <f t="shared" si="382"/>
        <v>0</v>
      </c>
      <c r="M382" s="76">
        <f t="shared" si="383"/>
        <v>0</v>
      </c>
      <c r="N382" s="76">
        <f t="shared" si="384"/>
        <v>0</v>
      </c>
      <c r="O382" s="77">
        <f t="shared" si="385"/>
        <v>0</v>
      </c>
      <c r="P382" s="77">
        <f t="shared" si="386"/>
        <v>0</v>
      </c>
      <c r="Q382" s="76">
        <f t="shared" si="387"/>
        <v>0</v>
      </c>
      <c r="R382" s="76">
        <f t="shared" si="388"/>
        <v>0</v>
      </c>
      <c r="S382" s="57">
        <f t="shared" si="389"/>
        <v>0</v>
      </c>
    </row>
    <row r="383" spans="1:19" x14ac:dyDescent="0.4">
      <c r="A383" s="57"/>
      <c r="B383" s="57" t="str">
        <f t="shared" si="390"/>
        <v>BRAC99560</v>
      </c>
      <c r="C383" s="57"/>
      <c r="D383" s="57"/>
      <c r="E383" s="71"/>
      <c r="F383" s="71">
        <f t="shared" si="391"/>
        <v>92</v>
      </c>
      <c r="G383" s="72">
        <f t="shared" si="392"/>
        <v>0</v>
      </c>
      <c r="H383" s="57">
        <f t="shared" si="379"/>
        <v>0</v>
      </c>
      <c r="I383" s="73">
        <f t="shared" si="380"/>
        <v>0</v>
      </c>
      <c r="J383" s="74">
        <v>22</v>
      </c>
      <c r="K383" s="57">
        <f t="shared" si="381"/>
        <v>0</v>
      </c>
      <c r="L383" s="75">
        <f t="shared" si="382"/>
        <v>0</v>
      </c>
      <c r="M383" s="76">
        <f t="shared" si="383"/>
        <v>0</v>
      </c>
      <c r="N383" s="76">
        <f t="shared" si="384"/>
        <v>0</v>
      </c>
      <c r="O383" s="77">
        <f t="shared" si="385"/>
        <v>0</v>
      </c>
      <c r="P383" s="77">
        <f t="shared" si="386"/>
        <v>0</v>
      </c>
      <c r="Q383" s="76">
        <f t="shared" si="387"/>
        <v>0</v>
      </c>
      <c r="R383" s="76">
        <f t="shared" si="388"/>
        <v>0</v>
      </c>
      <c r="S383" s="57">
        <f t="shared" si="389"/>
        <v>0</v>
      </c>
    </row>
    <row r="384" spans="1:19" x14ac:dyDescent="0.4">
      <c r="A384" s="57"/>
      <c r="B384" s="57" t="str">
        <f t="shared" si="390"/>
        <v>BRAC99560</v>
      </c>
      <c r="C384" s="57"/>
      <c r="D384" s="57"/>
      <c r="E384" s="57"/>
      <c r="F384" s="71">
        <f t="shared" si="391"/>
        <v>122</v>
      </c>
      <c r="G384" s="72">
        <f t="shared" si="392"/>
        <v>0</v>
      </c>
      <c r="H384" s="57">
        <f t="shared" si="379"/>
        <v>0</v>
      </c>
      <c r="I384" s="73">
        <f t="shared" si="380"/>
        <v>0</v>
      </c>
      <c r="J384" s="74">
        <v>22</v>
      </c>
      <c r="K384" s="57">
        <f t="shared" si="381"/>
        <v>0</v>
      </c>
      <c r="L384" s="75">
        <f t="shared" si="382"/>
        <v>0</v>
      </c>
      <c r="M384" s="76">
        <f t="shared" si="383"/>
        <v>0</v>
      </c>
      <c r="N384" s="76">
        <f t="shared" si="384"/>
        <v>0</v>
      </c>
      <c r="O384" s="77">
        <f t="shared" si="385"/>
        <v>0</v>
      </c>
      <c r="P384" s="77">
        <f t="shared" si="386"/>
        <v>0</v>
      </c>
      <c r="Q384" s="76">
        <f t="shared" si="387"/>
        <v>0</v>
      </c>
      <c r="R384" s="76">
        <f t="shared" si="388"/>
        <v>0</v>
      </c>
      <c r="S384" s="57">
        <f t="shared" si="389"/>
        <v>0</v>
      </c>
    </row>
    <row r="385" spans="1:19" x14ac:dyDescent="0.4">
      <c r="A385" s="57"/>
      <c r="B385" s="57" t="str">
        <f t="shared" si="390"/>
        <v>BRAC99560</v>
      </c>
      <c r="C385" s="71"/>
      <c r="D385" s="57"/>
      <c r="E385" s="57"/>
      <c r="F385" s="71">
        <f t="shared" si="391"/>
        <v>153</v>
      </c>
      <c r="G385" s="72">
        <f t="shared" si="392"/>
        <v>0</v>
      </c>
      <c r="H385" s="57">
        <f t="shared" si="379"/>
        <v>0</v>
      </c>
      <c r="I385" s="73">
        <f t="shared" si="380"/>
        <v>0</v>
      </c>
      <c r="J385" s="74">
        <v>22</v>
      </c>
      <c r="K385" s="57">
        <f t="shared" si="381"/>
        <v>0</v>
      </c>
      <c r="L385" s="75">
        <f t="shared" si="382"/>
        <v>0</v>
      </c>
      <c r="M385" s="76">
        <f t="shared" si="383"/>
        <v>0</v>
      </c>
      <c r="N385" s="76">
        <f t="shared" si="384"/>
        <v>0</v>
      </c>
      <c r="O385" s="77">
        <f t="shared" si="385"/>
        <v>0</v>
      </c>
      <c r="P385" s="77">
        <f t="shared" si="386"/>
        <v>0</v>
      </c>
      <c r="Q385" s="76">
        <f t="shared" si="387"/>
        <v>0</v>
      </c>
      <c r="R385" s="76">
        <f t="shared" si="388"/>
        <v>0</v>
      </c>
      <c r="S385" s="57">
        <f t="shared" si="389"/>
        <v>0</v>
      </c>
    </row>
    <row r="386" spans="1:19" x14ac:dyDescent="0.4">
      <c r="A386" s="57"/>
      <c r="B386" s="57" t="str">
        <f t="shared" si="390"/>
        <v>BRAC99560</v>
      </c>
      <c r="C386" s="57"/>
      <c r="D386" s="57"/>
      <c r="E386" s="57"/>
      <c r="F386" s="71">
        <f t="shared" si="391"/>
        <v>183</v>
      </c>
      <c r="G386" s="72">
        <f t="shared" si="392"/>
        <v>0</v>
      </c>
      <c r="H386" s="57">
        <f t="shared" si="379"/>
        <v>0</v>
      </c>
      <c r="I386" s="73">
        <f t="shared" si="380"/>
        <v>0</v>
      </c>
      <c r="J386" s="74">
        <v>22</v>
      </c>
      <c r="K386" s="57">
        <f t="shared" si="381"/>
        <v>0</v>
      </c>
      <c r="L386" s="75">
        <f t="shared" si="382"/>
        <v>0</v>
      </c>
      <c r="M386" s="76">
        <f t="shared" si="383"/>
        <v>0</v>
      </c>
      <c r="N386" s="76">
        <f t="shared" si="384"/>
        <v>0</v>
      </c>
      <c r="O386" s="77">
        <f t="shared" si="385"/>
        <v>0</v>
      </c>
      <c r="P386" s="77">
        <f t="shared" si="386"/>
        <v>0</v>
      </c>
      <c r="Q386" s="76">
        <f t="shared" si="387"/>
        <v>0</v>
      </c>
      <c r="R386" s="76">
        <f t="shared" si="388"/>
        <v>0</v>
      </c>
      <c r="S386" s="57">
        <f t="shared" si="389"/>
        <v>0</v>
      </c>
    </row>
    <row r="387" spans="1:19" x14ac:dyDescent="0.4">
      <c r="A387" s="57"/>
      <c r="B387" s="57" t="str">
        <f t="shared" si="390"/>
        <v>BRAC99560</v>
      </c>
      <c r="C387" s="57"/>
      <c r="D387" s="57"/>
      <c r="E387" s="57"/>
      <c r="F387" s="71">
        <f t="shared" si="391"/>
        <v>214</v>
      </c>
      <c r="G387" s="72">
        <f t="shared" si="392"/>
        <v>0</v>
      </c>
      <c r="H387" s="57">
        <f t="shared" si="379"/>
        <v>0</v>
      </c>
      <c r="I387" s="73">
        <f t="shared" si="380"/>
        <v>0</v>
      </c>
      <c r="J387" s="74">
        <v>22</v>
      </c>
      <c r="K387" s="57">
        <f t="shared" si="381"/>
        <v>0</v>
      </c>
      <c r="L387" s="75">
        <f t="shared" si="382"/>
        <v>0</v>
      </c>
      <c r="M387" s="76">
        <f t="shared" si="383"/>
        <v>0</v>
      </c>
      <c r="N387" s="76">
        <f t="shared" si="384"/>
        <v>0</v>
      </c>
      <c r="O387" s="77">
        <f t="shared" si="385"/>
        <v>0</v>
      </c>
      <c r="P387" s="77">
        <f t="shared" si="386"/>
        <v>0</v>
      </c>
      <c r="Q387" s="76">
        <f t="shared" si="387"/>
        <v>0</v>
      </c>
      <c r="R387" s="76">
        <f t="shared" si="388"/>
        <v>0</v>
      </c>
      <c r="S387" s="57">
        <f t="shared" si="389"/>
        <v>0</v>
      </c>
    </row>
    <row r="388" spans="1:19" x14ac:dyDescent="0.4">
      <c r="A388" s="57"/>
      <c r="B388" s="57" t="str">
        <f t="shared" si="390"/>
        <v>BRAC99560</v>
      </c>
      <c r="C388" s="57"/>
      <c r="D388" s="79"/>
      <c r="E388" s="57"/>
      <c r="F388" s="71">
        <f t="shared" si="391"/>
        <v>245</v>
      </c>
      <c r="G388" s="72">
        <f t="shared" si="392"/>
        <v>0</v>
      </c>
      <c r="H388" s="57">
        <f t="shared" si="379"/>
        <v>0</v>
      </c>
      <c r="I388" s="73">
        <f t="shared" si="380"/>
        <v>0</v>
      </c>
      <c r="J388" s="74">
        <v>22</v>
      </c>
      <c r="K388" s="57">
        <f t="shared" si="381"/>
        <v>0</v>
      </c>
      <c r="L388" s="75">
        <f t="shared" si="382"/>
        <v>0</v>
      </c>
      <c r="M388" s="76">
        <f t="shared" si="383"/>
        <v>0</v>
      </c>
      <c r="N388" s="76">
        <f t="shared" si="384"/>
        <v>0</v>
      </c>
      <c r="O388" s="77">
        <f t="shared" si="385"/>
        <v>0</v>
      </c>
      <c r="P388" s="77">
        <f t="shared" si="386"/>
        <v>0</v>
      </c>
      <c r="Q388" s="76">
        <f t="shared" si="387"/>
        <v>0</v>
      </c>
      <c r="R388" s="76">
        <f t="shared" si="388"/>
        <v>0</v>
      </c>
      <c r="S388" s="57">
        <f t="shared" si="389"/>
        <v>0</v>
      </c>
    </row>
    <row r="389" spans="1:19" x14ac:dyDescent="0.4">
      <c r="A389" s="57"/>
      <c r="B389" s="57" t="str">
        <f t="shared" si="390"/>
        <v>BRAC99560</v>
      </c>
      <c r="C389" s="57"/>
      <c r="D389" s="79"/>
      <c r="E389" s="57"/>
      <c r="F389" s="71">
        <f t="shared" si="391"/>
        <v>275</v>
      </c>
      <c r="G389" s="72">
        <f t="shared" si="392"/>
        <v>0</v>
      </c>
      <c r="H389" s="57">
        <f t="shared" si="379"/>
        <v>0</v>
      </c>
      <c r="I389" s="73">
        <f t="shared" si="380"/>
        <v>0</v>
      </c>
      <c r="J389" s="74">
        <v>22</v>
      </c>
      <c r="K389" s="57">
        <f t="shared" si="381"/>
        <v>0</v>
      </c>
      <c r="L389" s="75">
        <f t="shared" si="382"/>
        <v>0</v>
      </c>
      <c r="M389" s="76">
        <f t="shared" si="383"/>
        <v>0</v>
      </c>
      <c r="N389" s="76">
        <f t="shared" si="384"/>
        <v>0</v>
      </c>
      <c r="O389" s="77">
        <f t="shared" si="385"/>
        <v>0</v>
      </c>
      <c r="P389" s="77">
        <f t="shared" si="386"/>
        <v>0</v>
      </c>
      <c r="Q389" s="76">
        <f t="shared" si="387"/>
        <v>0</v>
      </c>
      <c r="R389" s="76">
        <f t="shared" si="388"/>
        <v>0</v>
      </c>
      <c r="S389" s="57">
        <f t="shared" si="389"/>
        <v>0</v>
      </c>
    </row>
    <row r="390" spans="1:19" x14ac:dyDescent="0.4">
      <c r="A390" s="57"/>
      <c r="B390" s="57" t="str">
        <f t="shared" si="390"/>
        <v>BRAC99560</v>
      </c>
      <c r="C390" s="57"/>
      <c r="D390" s="57"/>
      <c r="E390" s="57"/>
      <c r="F390" s="71">
        <f t="shared" si="391"/>
        <v>306</v>
      </c>
      <c r="G390" s="72">
        <f t="shared" si="392"/>
        <v>0</v>
      </c>
      <c r="H390" s="57">
        <f t="shared" si="379"/>
        <v>0</v>
      </c>
      <c r="I390" s="73">
        <f t="shared" si="380"/>
        <v>0</v>
      </c>
      <c r="J390" s="74">
        <v>22</v>
      </c>
      <c r="K390" s="57">
        <f t="shared" si="381"/>
        <v>0</v>
      </c>
      <c r="L390" s="75">
        <f t="shared" si="382"/>
        <v>0</v>
      </c>
      <c r="M390" s="76">
        <f t="shared" si="383"/>
        <v>0</v>
      </c>
      <c r="N390" s="76">
        <f t="shared" si="384"/>
        <v>0</v>
      </c>
      <c r="O390" s="77">
        <f t="shared" si="385"/>
        <v>0</v>
      </c>
      <c r="P390" s="77">
        <f t="shared" si="386"/>
        <v>0</v>
      </c>
      <c r="Q390" s="76">
        <f t="shared" si="387"/>
        <v>0</v>
      </c>
      <c r="R390" s="76">
        <f t="shared" si="388"/>
        <v>0</v>
      </c>
      <c r="S390" s="57">
        <f t="shared" si="389"/>
        <v>0</v>
      </c>
    </row>
    <row r="391" spans="1:19" x14ac:dyDescent="0.4">
      <c r="A391" s="57"/>
      <c r="B391" s="57" t="str">
        <f t="shared" si="390"/>
        <v>BRAC99560</v>
      </c>
      <c r="C391" s="57"/>
      <c r="D391" s="57"/>
      <c r="E391" s="57"/>
      <c r="F391" s="71">
        <f t="shared" si="391"/>
        <v>336</v>
      </c>
      <c r="G391" s="72">
        <f t="shared" si="392"/>
        <v>0</v>
      </c>
      <c r="H391" s="57">
        <f t="shared" si="379"/>
        <v>0</v>
      </c>
      <c r="I391" s="73">
        <f t="shared" si="380"/>
        <v>0</v>
      </c>
      <c r="J391" s="74">
        <v>22</v>
      </c>
      <c r="K391" s="57">
        <f t="shared" si="381"/>
        <v>0</v>
      </c>
      <c r="L391" s="75">
        <f t="shared" si="382"/>
        <v>0</v>
      </c>
      <c r="M391" s="76">
        <f t="shared" si="383"/>
        <v>0</v>
      </c>
      <c r="N391" s="76">
        <f t="shared" si="384"/>
        <v>0</v>
      </c>
      <c r="O391" s="77">
        <f t="shared" si="385"/>
        <v>0</v>
      </c>
      <c r="P391" s="77">
        <f t="shared" si="386"/>
        <v>0</v>
      </c>
      <c r="Q391" s="76">
        <f t="shared" si="387"/>
        <v>0</v>
      </c>
      <c r="R391" s="76">
        <f t="shared" si="388"/>
        <v>0</v>
      </c>
      <c r="S391" s="57">
        <f t="shared" si="389"/>
        <v>0</v>
      </c>
    </row>
    <row r="392" spans="1:19" x14ac:dyDescent="0.4">
      <c r="A392" s="57"/>
      <c r="B392" s="57" t="str">
        <f t="shared" si="390"/>
        <v>BRAC99560</v>
      </c>
      <c r="C392" s="57"/>
      <c r="D392" s="57"/>
      <c r="E392" s="57"/>
      <c r="F392" s="71">
        <f t="shared" si="391"/>
        <v>367</v>
      </c>
      <c r="G392" s="72">
        <f t="shared" si="392"/>
        <v>0</v>
      </c>
      <c r="H392" s="57">
        <f t="shared" si="379"/>
        <v>0</v>
      </c>
      <c r="I392" s="73">
        <f t="shared" si="380"/>
        <v>0</v>
      </c>
      <c r="J392" s="74">
        <v>22</v>
      </c>
      <c r="K392" s="57">
        <f t="shared" si="381"/>
        <v>0</v>
      </c>
      <c r="L392" s="75">
        <f t="shared" si="382"/>
        <v>0</v>
      </c>
      <c r="M392" s="76">
        <f t="shared" si="383"/>
        <v>0</v>
      </c>
      <c r="N392" s="76">
        <f t="shared" si="384"/>
        <v>0</v>
      </c>
      <c r="O392" s="77">
        <f t="shared" si="385"/>
        <v>0</v>
      </c>
      <c r="P392" s="77">
        <f t="shared" si="386"/>
        <v>0</v>
      </c>
      <c r="Q392" s="76">
        <f t="shared" si="387"/>
        <v>0</v>
      </c>
      <c r="R392" s="76">
        <f t="shared" si="388"/>
        <v>0</v>
      </c>
      <c r="S392" s="57">
        <f t="shared" si="389"/>
        <v>0</v>
      </c>
    </row>
    <row r="393" spans="1:19" x14ac:dyDescent="0.4">
      <c r="B393" s="57"/>
    </row>
    <row r="394" spans="1:19" ht="123" customHeight="1" x14ac:dyDescent="0.4">
      <c r="A394" s="69" t="s">
        <v>11</v>
      </c>
      <c r="B394" s="69" t="s">
        <v>11</v>
      </c>
      <c r="C394" s="69" t="s">
        <v>155</v>
      </c>
      <c r="D394" s="69" t="s">
        <v>158</v>
      </c>
      <c r="E394" s="69" t="s">
        <v>185</v>
      </c>
      <c r="F394" s="69" t="s">
        <v>186</v>
      </c>
      <c r="G394" s="70" t="s">
        <v>156</v>
      </c>
      <c r="H394" s="69" t="s">
        <v>187</v>
      </c>
      <c r="I394" s="69" t="s">
        <v>188</v>
      </c>
      <c r="J394" s="69" t="s">
        <v>158</v>
      </c>
      <c r="K394" s="69" t="s">
        <v>159</v>
      </c>
      <c r="L394" s="69" t="s">
        <v>160</v>
      </c>
      <c r="M394" s="69" t="s">
        <v>161</v>
      </c>
      <c r="N394" s="69" t="s">
        <v>162</v>
      </c>
      <c r="O394" s="69" t="s">
        <v>163</v>
      </c>
      <c r="P394" s="69" t="s">
        <v>164</v>
      </c>
      <c r="Q394" s="69" t="s">
        <v>165</v>
      </c>
      <c r="R394" s="69" t="s">
        <v>166</v>
      </c>
      <c r="S394" s="69" t="s">
        <v>189</v>
      </c>
    </row>
    <row r="395" spans="1:19" x14ac:dyDescent="0.4">
      <c r="A395" s="57">
        <f>+A381+1</f>
        <v>29</v>
      </c>
      <c r="B395" s="57" t="str">
        <f>INDEX('sale resgister'!B:B,A395+1,1)</f>
        <v>BAN2024</v>
      </c>
      <c r="C395" s="71">
        <f>+VLOOKUP(B395,'sale resgister'!B:J,9,0)</f>
        <v>0</v>
      </c>
      <c r="D395" s="79" t="str">
        <f>+VLOOKUP(B395,'sale resgister'!B:J,2,0)</f>
        <v>Batch 3</v>
      </c>
      <c r="E395" s="96">
        <f>IF(C395=0,0,VLOOKUP(B395,'sale resgister'!B:J,4,0))</f>
        <v>0</v>
      </c>
      <c r="F395" s="71">
        <f>DATE(YEAR(C395),MONTH(C395)+1,1)</f>
        <v>32</v>
      </c>
      <c r="G395" s="72">
        <f>E395</f>
        <v>0</v>
      </c>
      <c r="H395" s="57">
        <f t="shared" ref="H395:H406" si="393">ROUND(+G395*$H$1,3)</f>
        <v>0</v>
      </c>
      <c r="I395" s="73">
        <f t="shared" ref="I395:I406" si="394">IFERROR(+VLOOKUP(F395,$W$3:$X$15,2,0),0)</f>
        <v>0</v>
      </c>
      <c r="J395" s="74">
        <v>22</v>
      </c>
      <c r="K395" s="57">
        <f t="shared" ref="K395:K406" si="395">ROUND(+H395*97%,3)</f>
        <v>0</v>
      </c>
      <c r="L395" s="75">
        <f t="shared" ref="L395:L406" si="396">(K395-H395*92%)*I395</f>
        <v>0</v>
      </c>
      <c r="M395" s="76">
        <f t="shared" ref="M395:M406" si="397">ROUND(I395*92%*H395,2)</f>
        <v>0</v>
      </c>
      <c r="N395" s="76">
        <f t="shared" ref="N395:N406" si="398">ROUND(+M395*0.11,2)</f>
        <v>0</v>
      </c>
      <c r="O395" s="77">
        <f t="shared" ref="O395:O406" si="399">+N395-L395</f>
        <v>0</v>
      </c>
      <c r="P395" s="77">
        <f t="shared" ref="P395:P406" si="400">ROUND(+O395*15%,2)</f>
        <v>0</v>
      </c>
      <c r="Q395" s="76">
        <f t="shared" ref="Q395:Q406" si="401">ROUND(+(O395-P395)*60%,2)</f>
        <v>0</v>
      </c>
      <c r="R395" s="76">
        <f t="shared" ref="R395:R406" si="402">ROUND(+(O395-P395)*40%,2)</f>
        <v>0</v>
      </c>
      <c r="S395" s="57">
        <f t="shared" ref="S395:S406" si="403">IFERROR(ROUND(+Q395/(I395/92%),3),0)</f>
        <v>0</v>
      </c>
    </row>
    <row r="396" spans="1:19" x14ac:dyDescent="0.4">
      <c r="A396" s="57"/>
      <c r="B396" s="57" t="str">
        <f t="shared" ref="B396:B406" si="404">+B395</f>
        <v>BAN2024</v>
      </c>
      <c r="C396" s="57"/>
      <c r="D396" s="57"/>
      <c r="E396" s="57"/>
      <c r="F396" s="71">
        <f t="shared" ref="F396:F406" si="405">IF(+DATE(YEAR(F395),MONTH(F395)+1,1)&gt;$G$1+1,0,+DATE(YEAR(F395),MONTH(F395)+1,1))</f>
        <v>61</v>
      </c>
      <c r="G396" s="72">
        <f t="shared" ref="G396:G406" si="406">ROUND(IF(F396=0,0,(G395+S395)),3)</f>
        <v>0</v>
      </c>
      <c r="H396" s="57">
        <f t="shared" si="393"/>
        <v>0</v>
      </c>
      <c r="I396" s="73">
        <f t="shared" si="394"/>
        <v>0</v>
      </c>
      <c r="J396" s="74">
        <v>22</v>
      </c>
      <c r="K396" s="57">
        <f t="shared" si="395"/>
        <v>0</v>
      </c>
      <c r="L396" s="75">
        <f t="shared" si="396"/>
        <v>0</v>
      </c>
      <c r="M396" s="76">
        <f t="shared" si="397"/>
        <v>0</v>
      </c>
      <c r="N396" s="76">
        <f t="shared" si="398"/>
        <v>0</v>
      </c>
      <c r="O396" s="77">
        <f t="shared" si="399"/>
        <v>0</v>
      </c>
      <c r="P396" s="77">
        <f t="shared" si="400"/>
        <v>0</v>
      </c>
      <c r="Q396" s="76">
        <f t="shared" si="401"/>
        <v>0</v>
      </c>
      <c r="R396" s="76">
        <f t="shared" si="402"/>
        <v>0</v>
      </c>
      <c r="S396" s="57">
        <f t="shared" si="403"/>
        <v>0</v>
      </c>
    </row>
    <row r="397" spans="1:19" x14ac:dyDescent="0.4">
      <c r="A397" s="57"/>
      <c r="B397" s="57" t="str">
        <f t="shared" si="404"/>
        <v>BAN2024</v>
      </c>
      <c r="C397" s="57"/>
      <c r="D397" s="57"/>
      <c r="E397" s="71"/>
      <c r="F397" s="71">
        <f t="shared" si="405"/>
        <v>92</v>
      </c>
      <c r="G397" s="72">
        <f t="shared" si="406"/>
        <v>0</v>
      </c>
      <c r="H397" s="57">
        <f t="shared" si="393"/>
        <v>0</v>
      </c>
      <c r="I397" s="73">
        <f t="shared" si="394"/>
        <v>0</v>
      </c>
      <c r="J397" s="74">
        <v>22</v>
      </c>
      <c r="K397" s="57">
        <f t="shared" si="395"/>
        <v>0</v>
      </c>
      <c r="L397" s="75">
        <f t="shared" si="396"/>
        <v>0</v>
      </c>
      <c r="M397" s="76">
        <f t="shared" si="397"/>
        <v>0</v>
      </c>
      <c r="N397" s="76">
        <f t="shared" si="398"/>
        <v>0</v>
      </c>
      <c r="O397" s="77">
        <f t="shared" si="399"/>
        <v>0</v>
      </c>
      <c r="P397" s="77">
        <f t="shared" si="400"/>
        <v>0</v>
      </c>
      <c r="Q397" s="76">
        <f t="shared" si="401"/>
        <v>0</v>
      </c>
      <c r="R397" s="76">
        <f t="shared" si="402"/>
        <v>0</v>
      </c>
      <c r="S397" s="57">
        <f t="shared" si="403"/>
        <v>0</v>
      </c>
    </row>
    <row r="398" spans="1:19" x14ac:dyDescent="0.4">
      <c r="A398" s="57"/>
      <c r="B398" s="57" t="str">
        <f t="shared" si="404"/>
        <v>BAN2024</v>
      </c>
      <c r="C398" s="57"/>
      <c r="D398" s="57"/>
      <c r="E398" s="57"/>
      <c r="F398" s="71">
        <f t="shared" si="405"/>
        <v>122</v>
      </c>
      <c r="G398" s="72">
        <f t="shared" si="406"/>
        <v>0</v>
      </c>
      <c r="H398" s="57">
        <f t="shared" si="393"/>
        <v>0</v>
      </c>
      <c r="I398" s="73">
        <f t="shared" si="394"/>
        <v>0</v>
      </c>
      <c r="J398" s="74">
        <v>22</v>
      </c>
      <c r="K398" s="57">
        <f t="shared" si="395"/>
        <v>0</v>
      </c>
      <c r="L398" s="75">
        <f t="shared" si="396"/>
        <v>0</v>
      </c>
      <c r="M398" s="76">
        <f t="shared" si="397"/>
        <v>0</v>
      </c>
      <c r="N398" s="76">
        <f t="shared" si="398"/>
        <v>0</v>
      </c>
      <c r="O398" s="77">
        <f t="shared" si="399"/>
        <v>0</v>
      </c>
      <c r="P398" s="77">
        <f t="shared" si="400"/>
        <v>0</v>
      </c>
      <c r="Q398" s="76">
        <f t="shared" si="401"/>
        <v>0</v>
      </c>
      <c r="R398" s="76">
        <f t="shared" si="402"/>
        <v>0</v>
      </c>
      <c r="S398" s="57">
        <f t="shared" si="403"/>
        <v>0</v>
      </c>
    </row>
    <row r="399" spans="1:19" x14ac:dyDescent="0.4">
      <c r="A399" s="57"/>
      <c r="B399" s="57" t="str">
        <f t="shared" si="404"/>
        <v>BAN2024</v>
      </c>
      <c r="C399" s="71"/>
      <c r="D399" s="57"/>
      <c r="E399" s="57"/>
      <c r="F399" s="71">
        <f t="shared" si="405"/>
        <v>153</v>
      </c>
      <c r="G399" s="72">
        <f t="shared" si="406"/>
        <v>0</v>
      </c>
      <c r="H399" s="57">
        <f t="shared" si="393"/>
        <v>0</v>
      </c>
      <c r="I399" s="73">
        <f t="shared" si="394"/>
        <v>0</v>
      </c>
      <c r="J399" s="74">
        <v>22</v>
      </c>
      <c r="K399" s="57">
        <f t="shared" si="395"/>
        <v>0</v>
      </c>
      <c r="L399" s="75">
        <f t="shared" si="396"/>
        <v>0</v>
      </c>
      <c r="M399" s="76">
        <f t="shared" si="397"/>
        <v>0</v>
      </c>
      <c r="N399" s="76">
        <f t="shared" si="398"/>
        <v>0</v>
      </c>
      <c r="O399" s="77">
        <f t="shared" si="399"/>
        <v>0</v>
      </c>
      <c r="P399" s="77">
        <f t="shared" si="400"/>
        <v>0</v>
      </c>
      <c r="Q399" s="76">
        <f t="shared" si="401"/>
        <v>0</v>
      </c>
      <c r="R399" s="76">
        <f t="shared" si="402"/>
        <v>0</v>
      </c>
      <c r="S399" s="57">
        <f t="shared" si="403"/>
        <v>0</v>
      </c>
    </row>
    <row r="400" spans="1:19" x14ac:dyDescent="0.4">
      <c r="A400" s="57"/>
      <c r="B400" s="57" t="str">
        <f t="shared" si="404"/>
        <v>BAN2024</v>
      </c>
      <c r="C400" s="57"/>
      <c r="D400" s="57"/>
      <c r="E400" s="57"/>
      <c r="F400" s="71">
        <f t="shared" si="405"/>
        <v>183</v>
      </c>
      <c r="G400" s="72">
        <f t="shared" si="406"/>
        <v>0</v>
      </c>
      <c r="H400" s="57">
        <f t="shared" si="393"/>
        <v>0</v>
      </c>
      <c r="I400" s="73">
        <f t="shared" si="394"/>
        <v>0</v>
      </c>
      <c r="J400" s="74">
        <v>22</v>
      </c>
      <c r="K400" s="57">
        <f t="shared" si="395"/>
        <v>0</v>
      </c>
      <c r="L400" s="75">
        <f t="shared" si="396"/>
        <v>0</v>
      </c>
      <c r="M400" s="76">
        <f t="shared" si="397"/>
        <v>0</v>
      </c>
      <c r="N400" s="76">
        <f t="shared" si="398"/>
        <v>0</v>
      </c>
      <c r="O400" s="77">
        <f t="shared" si="399"/>
        <v>0</v>
      </c>
      <c r="P400" s="77">
        <f t="shared" si="400"/>
        <v>0</v>
      </c>
      <c r="Q400" s="76">
        <f t="shared" si="401"/>
        <v>0</v>
      </c>
      <c r="R400" s="76">
        <f t="shared" si="402"/>
        <v>0</v>
      </c>
      <c r="S400" s="57">
        <f t="shared" si="403"/>
        <v>0</v>
      </c>
    </row>
    <row r="401" spans="1:19" x14ac:dyDescent="0.4">
      <c r="A401" s="57"/>
      <c r="B401" s="57" t="str">
        <f t="shared" si="404"/>
        <v>BAN2024</v>
      </c>
      <c r="C401" s="57"/>
      <c r="D401" s="57"/>
      <c r="E401" s="57"/>
      <c r="F401" s="71">
        <f t="shared" si="405"/>
        <v>214</v>
      </c>
      <c r="G401" s="72">
        <f t="shared" si="406"/>
        <v>0</v>
      </c>
      <c r="H401" s="57">
        <f t="shared" si="393"/>
        <v>0</v>
      </c>
      <c r="I401" s="73">
        <f t="shared" si="394"/>
        <v>0</v>
      </c>
      <c r="J401" s="74">
        <v>22</v>
      </c>
      <c r="K401" s="57">
        <f t="shared" si="395"/>
        <v>0</v>
      </c>
      <c r="L401" s="75">
        <f t="shared" si="396"/>
        <v>0</v>
      </c>
      <c r="M401" s="76">
        <f t="shared" si="397"/>
        <v>0</v>
      </c>
      <c r="N401" s="76">
        <f t="shared" si="398"/>
        <v>0</v>
      </c>
      <c r="O401" s="77">
        <f t="shared" si="399"/>
        <v>0</v>
      </c>
      <c r="P401" s="77">
        <f t="shared" si="400"/>
        <v>0</v>
      </c>
      <c r="Q401" s="76">
        <f t="shared" si="401"/>
        <v>0</v>
      </c>
      <c r="R401" s="76">
        <f t="shared" si="402"/>
        <v>0</v>
      </c>
      <c r="S401" s="57">
        <f t="shared" si="403"/>
        <v>0</v>
      </c>
    </row>
    <row r="402" spans="1:19" x14ac:dyDescent="0.4">
      <c r="A402" s="57"/>
      <c r="B402" s="57" t="str">
        <f t="shared" si="404"/>
        <v>BAN2024</v>
      </c>
      <c r="C402" s="57"/>
      <c r="D402" s="79"/>
      <c r="E402" s="57"/>
      <c r="F402" s="71">
        <f t="shared" si="405"/>
        <v>245</v>
      </c>
      <c r="G402" s="72">
        <f t="shared" si="406"/>
        <v>0</v>
      </c>
      <c r="H402" s="57">
        <f t="shared" si="393"/>
        <v>0</v>
      </c>
      <c r="I402" s="73">
        <f t="shared" si="394"/>
        <v>0</v>
      </c>
      <c r="J402" s="74">
        <v>22</v>
      </c>
      <c r="K402" s="57">
        <f t="shared" si="395"/>
        <v>0</v>
      </c>
      <c r="L402" s="75">
        <f t="shared" si="396"/>
        <v>0</v>
      </c>
      <c r="M402" s="76">
        <f t="shared" si="397"/>
        <v>0</v>
      </c>
      <c r="N402" s="76">
        <f t="shared" si="398"/>
        <v>0</v>
      </c>
      <c r="O402" s="77">
        <f t="shared" si="399"/>
        <v>0</v>
      </c>
      <c r="P402" s="77">
        <f t="shared" si="400"/>
        <v>0</v>
      </c>
      <c r="Q402" s="76">
        <f t="shared" si="401"/>
        <v>0</v>
      </c>
      <c r="R402" s="76">
        <f t="shared" si="402"/>
        <v>0</v>
      </c>
      <c r="S402" s="57">
        <f t="shared" si="403"/>
        <v>0</v>
      </c>
    </row>
    <row r="403" spans="1:19" x14ac:dyDescent="0.4">
      <c r="A403" s="57"/>
      <c r="B403" s="57" t="str">
        <f t="shared" si="404"/>
        <v>BAN2024</v>
      </c>
      <c r="C403" s="57"/>
      <c r="D403" s="79"/>
      <c r="E403" s="57"/>
      <c r="F403" s="71">
        <f t="shared" si="405"/>
        <v>275</v>
      </c>
      <c r="G403" s="72">
        <f t="shared" si="406"/>
        <v>0</v>
      </c>
      <c r="H403" s="57">
        <f t="shared" si="393"/>
        <v>0</v>
      </c>
      <c r="I403" s="73">
        <f t="shared" si="394"/>
        <v>0</v>
      </c>
      <c r="J403" s="74">
        <v>22</v>
      </c>
      <c r="K403" s="57">
        <f t="shared" si="395"/>
        <v>0</v>
      </c>
      <c r="L403" s="75">
        <f t="shared" si="396"/>
        <v>0</v>
      </c>
      <c r="M403" s="76">
        <f t="shared" si="397"/>
        <v>0</v>
      </c>
      <c r="N403" s="76">
        <f t="shared" si="398"/>
        <v>0</v>
      </c>
      <c r="O403" s="77">
        <f t="shared" si="399"/>
        <v>0</v>
      </c>
      <c r="P403" s="77">
        <f t="shared" si="400"/>
        <v>0</v>
      </c>
      <c r="Q403" s="76">
        <f t="shared" si="401"/>
        <v>0</v>
      </c>
      <c r="R403" s="76">
        <f t="shared" si="402"/>
        <v>0</v>
      </c>
      <c r="S403" s="57">
        <f t="shared" si="403"/>
        <v>0</v>
      </c>
    </row>
    <row r="404" spans="1:19" x14ac:dyDescent="0.4">
      <c r="A404" s="57"/>
      <c r="B404" s="57" t="str">
        <f t="shared" si="404"/>
        <v>BAN2024</v>
      </c>
      <c r="C404" s="57"/>
      <c r="D404" s="57"/>
      <c r="E404" s="57"/>
      <c r="F404" s="71">
        <f t="shared" si="405"/>
        <v>306</v>
      </c>
      <c r="G404" s="72">
        <f t="shared" si="406"/>
        <v>0</v>
      </c>
      <c r="H404" s="57">
        <f t="shared" si="393"/>
        <v>0</v>
      </c>
      <c r="I404" s="73">
        <f t="shared" si="394"/>
        <v>0</v>
      </c>
      <c r="J404" s="74">
        <v>22</v>
      </c>
      <c r="K404" s="57">
        <f t="shared" si="395"/>
        <v>0</v>
      </c>
      <c r="L404" s="75">
        <f t="shared" si="396"/>
        <v>0</v>
      </c>
      <c r="M404" s="76">
        <f t="shared" si="397"/>
        <v>0</v>
      </c>
      <c r="N404" s="76">
        <f t="shared" si="398"/>
        <v>0</v>
      </c>
      <c r="O404" s="77">
        <f t="shared" si="399"/>
        <v>0</v>
      </c>
      <c r="P404" s="77">
        <f t="shared" si="400"/>
        <v>0</v>
      </c>
      <c r="Q404" s="76">
        <f t="shared" si="401"/>
        <v>0</v>
      </c>
      <c r="R404" s="76">
        <f t="shared" si="402"/>
        <v>0</v>
      </c>
      <c r="S404" s="57">
        <f t="shared" si="403"/>
        <v>0</v>
      </c>
    </row>
    <row r="405" spans="1:19" x14ac:dyDescent="0.4">
      <c r="A405" s="57"/>
      <c r="B405" s="57" t="str">
        <f t="shared" si="404"/>
        <v>BAN2024</v>
      </c>
      <c r="C405" s="57"/>
      <c r="D405" s="57"/>
      <c r="E405" s="57"/>
      <c r="F405" s="71">
        <f t="shared" si="405"/>
        <v>336</v>
      </c>
      <c r="G405" s="72">
        <f t="shared" si="406"/>
        <v>0</v>
      </c>
      <c r="H405" s="57">
        <f t="shared" si="393"/>
        <v>0</v>
      </c>
      <c r="I405" s="73">
        <f t="shared" si="394"/>
        <v>0</v>
      </c>
      <c r="J405" s="74">
        <v>22</v>
      </c>
      <c r="K405" s="57">
        <f t="shared" si="395"/>
        <v>0</v>
      </c>
      <c r="L405" s="75">
        <f t="shared" si="396"/>
        <v>0</v>
      </c>
      <c r="M405" s="76">
        <f t="shared" si="397"/>
        <v>0</v>
      </c>
      <c r="N405" s="76">
        <f t="shared" si="398"/>
        <v>0</v>
      </c>
      <c r="O405" s="77">
        <f t="shared" si="399"/>
        <v>0</v>
      </c>
      <c r="P405" s="77">
        <f t="shared" si="400"/>
        <v>0</v>
      </c>
      <c r="Q405" s="76">
        <f t="shared" si="401"/>
        <v>0</v>
      </c>
      <c r="R405" s="76">
        <f t="shared" si="402"/>
        <v>0</v>
      </c>
      <c r="S405" s="57">
        <f t="shared" si="403"/>
        <v>0</v>
      </c>
    </row>
    <row r="406" spans="1:19" x14ac:dyDescent="0.4">
      <c r="A406" s="57"/>
      <c r="B406" s="57" t="str">
        <f t="shared" si="404"/>
        <v>BAN2024</v>
      </c>
      <c r="C406" s="57"/>
      <c r="D406" s="57"/>
      <c r="E406" s="57"/>
      <c r="F406" s="71">
        <f t="shared" si="405"/>
        <v>367</v>
      </c>
      <c r="G406" s="72">
        <f t="shared" si="406"/>
        <v>0</v>
      </c>
      <c r="H406" s="57">
        <f t="shared" si="393"/>
        <v>0</v>
      </c>
      <c r="I406" s="73">
        <f t="shared" si="394"/>
        <v>0</v>
      </c>
      <c r="J406" s="74">
        <v>22</v>
      </c>
      <c r="K406" s="57">
        <f t="shared" si="395"/>
        <v>0</v>
      </c>
      <c r="L406" s="75">
        <f t="shared" si="396"/>
        <v>0</v>
      </c>
      <c r="M406" s="76">
        <f t="shared" si="397"/>
        <v>0</v>
      </c>
      <c r="N406" s="76">
        <f t="shared" si="398"/>
        <v>0</v>
      </c>
      <c r="O406" s="77">
        <f t="shared" si="399"/>
        <v>0</v>
      </c>
      <c r="P406" s="77">
        <f t="shared" si="400"/>
        <v>0</v>
      </c>
      <c r="Q406" s="76">
        <f t="shared" si="401"/>
        <v>0</v>
      </c>
      <c r="R406" s="76">
        <f t="shared" si="402"/>
        <v>0</v>
      </c>
      <c r="S406" s="57">
        <f t="shared" si="403"/>
        <v>0</v>
      </c>
    </row>
    <row r="407" spans="1:19" x14ac:dyDescent="0.4">
      <c r="B407" s="57"/>
    </row>
    <row r="408" spans="1:19" ht="123" customHeight="1" x14ac:dyDescent="0.4">
      <c r="A408" s="69" t="s">
        <v>11</v>
      </c>
      <c r="B408" s="69" t="s">
        <v>11</v>
      </c>
      <c r="C408" s="69" t="s">
        <v>155</v>
      </c>
      <c r="D408" s="69" t="s">
        <v>158</v>
      </c>
      <c r="E408" s="69" t="s">
        <v>185</v>
      </c>
      <c r="F408" s="69" t="s">
        <v>186</v>
      </c>
      <c r="G408" s="70" t="s">
        <v>156</v>
      </c>
      <c r="H408" s="69" t="s">
        <v>187</v>
      </c>
      <c r="I408" s="69" t="s">
        <v>188</v>
      </c>
      <c r="J408" s="69" t="s">
        <v>158</v>
      </c>
      <c r="K408" s="69" t="s">
        <v>159</v>
      </c>
      <c r="L408" s="69" t="s">
        <v>160</v>
      </c>
      <c r="M408" s="69" t="s">
        <v>161</v>
      </c>
      <c r="N408" s="69" t="s">
        <v>162</v>
      </c>
      <c r="O408" s="69" t="s">
        <v>163</v>
      </c>
      <c r="P408" s="69" t="s">
        <v>164</v>
      </c>
      <c r="Q408" s="69" t="s">
        <v>165</v>
      </c>
      <c r="R408" s="69" t="s">
        <v>166</v>
      </c>
      <c r="S408" s="69" t="s">
        <v>189</v>
      </c>
    </row>
    <row r="409" spans="1:19" x14ac:dyDescent="0.4">
      <c r="A409" s="57">
        <f>+A395+1</f>
        <v>30</v>
      </c>
      <c r="B409" s="57" t="str">
        <f>INDEX('sale resgister'!B:B,A409+1,1)</f>
        <v>BAN2019</v>
      </c>
      <c r="C409" s="71">
        <f>+VLOOKUP(B409,'sale resgister'!B:J,9,0)</f>
        <v>0</v>
      </c>
      <c r="D409" s="79" t="str">
        <f>+VLOOKUP(B409,'sale resgister'!B:J,2,0)</f>
        <v>Batch 3</v>
      </c>
      <c r="E409" s="96">
        <f>IF(C409=0,0,VLOOKUP(B409,'sale resgister'!B:J,4,0))</f>
        <v>0</v>
      </c>
      <c r="F409" s="71">
        <f>DATE(YEAR(C409),MONTH(C409)+1,1)</f>
        <v>32</v>
      </c>
      <c r="G409" s="72">
        <f>E409</f>
        <v>0</v>
      </c>
      <c r="H409" s="57">
        <f t="shared" ref="H409:H420" si="407">ROUND(+G409*$H$1,3)</f>
        <v>0</v>
      </c>
      <c r="I409" s="73">
        <f t="shared" ref="I409:I420" si="408">IFERROR(+VLOOKUP(F409,$W$3:$X$15,2,0),0)</f>
        <v>0</v>
      </c>
      <c r="J409" s="74">
        <v>22</v>
      </c>
      <c r="K409" s="57">
        <f t="shared" ref="K409:K420" si="409">ROUND(+H409*97%,3)</f>
        <v>0</v>
      </c>
      <c r="L409" s="75">
        <f t="shared" ref="L409:L420" si="410">(K409-H409*92%)*I409</f>
        <v>0</v>
      </c>
      <c r="M409" s="76">
        <f t="shared" ref="M409:M420" si="411">ROUND(I409*92%*H409,2)</f>
        <v>0</v>
      </c>
      <c r="N409" s="76">
        <f t="shared" ref="N409:N420" si="412">ROUND(+M409*0.11,2)</f>
        <v>0</v>
      </c>
      <c r="O409" s="77">
        <f t="shared" ref="O409:O420" si="413">+N409-L409</f>
        <v>0</v>
      </c>
      <c r="P409" s="77">
        <f t="shared" ref="P409:P420" si="414">ROUND(+O409*15%,2)</f>
        <v>0</v>
      </c>
      <c r="Q409" s="76">
        <f t="shared" ref="Q409:Q420" si="415">ROUND(+(O409-P409)*60%,2)</f>
        <v>0</v>
      </c>
      <c r="R409" s="76">
        <f t="shared" ref="R409:R420" si="416">ROUND(+(O409-P409)*40%,2)</f>
        <v>0</v>
      </c>
      <c r="S409" s="57">
        <f t="shared" ref="S409:S420" si="417">IFERROR(ROUND(+Q409/(I409/92%),3),0)</f>
        <v>0</v>
      </c>
    </row>
    <row r="410" spans="1:19" x14ac:dyDescent="0.4">
      <c r="A410" s="57"/>
      <c r="B410" s="57" t="str">
        <f t="shared" ref="B410:B420" si="418">+B409</f>
        <v>BAN2019</v>
      </c>
      <c r="C410" s="57"/>
      <c r="D410" s="57"/>
      <c r="E410" s="57"/>
      <c r="F410" s="71">
        <f t="shared" ref="F410:F420" si="419">IF(+DATE(YEAR(F409),MONTH(F409)+1,1)&gt;$G$1+1,0,+DATE(YEAR(F409),MONTH(F409)+1,1))</f>
        <v>61</v>
      </c>
      <c r="G410" s="72">
        <f t="shared" ref="G410:G420" si="420">ROUND(IF(F410=0,0,(G409+S409)),3)</f>
        <v>0</v>
      </c>
      <c r="H410" s="57">
        <f t="shared" si="407"/>
        <v>0</v>
      </c>
      <c r="I410" s="73">
        <f t="shared" si="408"/>
        <v>0</v>
      </c>
      <c r="J410" s="74">
        <v>22</v>
      </c>
      <c r="K410" s="57">
        <f t="shared" si="409"/>
        <v>0</v>
      </c>
      <c r="L410" s="75">
        <f t="shared" si="410"/>
        <v>0</v>
      </c>
      <c r="M410" s="76">
        <f t="shared" si="411"/>
        <v>0</v>
      </c>
      <c r="N410" s="76">
        <f t="shared" si="412"/>
        <v>0</v>
      </c>
      <c r="O410" s="77">
        <f t="shared" si="413"/>
        <v>0</v>
      </c>
      <c r="P410" s="77">
        <f t="shared" si="414"/>
        <v>0</v>
      </c>
      <c r="Q410" s="76">
        <f t="shared" si="415"/>
        <v>0</v>
      </c>
      <c r="R410" s="76">
        <f t="shared" si="416"/>
        <v>0</v>
      </c>
      <c r="S410" s="57">
        <f t="shared" si="417"/>
        <v>0</v>
      </c>
    </row>
    <row r="411" spans="1:19" x14ac:dyDescent="0.4">
      <c r="A411" s="57"/>
      <c r="B411" s="57" t="str">
        <f t="shared" si="418"/>
        <v>BAN2019</v>
      </c>
      <c r="C411" s="57"/>
      <c r="D411" s="57"/>
      <c r="E411" s="71"/>
      <c r="F411" s="71">
        <f t="shared" si="419"/>
        <v>92</v>
      </c>
      <c r="G411" s="72">
        <f t="shared" si="420"/>
        <v>0</v>
      </c>
      <c r="H411" s="57">
        <f t="shared" si="407"/>
        <v>0</v>
      </c>
      <c r="I411" s="73">
        <f t="shared" si="408"/>
        <v>0</v>
      </c>
      <c r="J411" s="74">
        <v>22</v>
      </c>
      <c r="K411" s="57">
        <f t="shared" si="409"/>
        <v>0</v>
      </c>
      <c r="L411" s="75">
        <f t="shared" si="410"/>
        <v>0</v>
      </c>
      <c r="M411" s="76">
        <f t="shared" si="411"/>
        <v>0</v>
      </c>
      <c r="N411" s="76">
        <f t="shared" si="412"/>
        <v>0</v>
      </c>
      <c r="O411" s="77">
        <f t="shared" si="413"/>
        <v>0</v>
      </c>
      <c r="P411" s="77">
        <f t="shared" si="414"/>
        <v>0</v>
      </c>
      <c r="Q411" s="76">
        <f t="shared" si="415"/>
        <v>0</v>
      </c>
      <c r="R411" s="76">
        <f t="shared" si="416"/>
        <v>0</v>
      </c>
      <c r="S411" s="57">
        <f t="shared" si="417"/>
        <v>0</v>
      </c>
    </row>
    <row r="412" spans="1:19" x14ac:dyDescent="0.4">
      <c r="A412" s="57"/>
      <c r="B412" s="57" t="str">
        <f t="shared" si="418"/>
        <v>BAN2019</v>
      </c>
      <c r="C412" s="57"/>
      <c r="D412" s="57"/>
      <c r="E412" s="57"/>
      <c r="F412" s="71">
        <f t="shared" si="419"/>
        <v>122</v>
      </c>
      <c r="G412" s="72">
        <f t="shared" si="420"/>
        <v>0</v>
      </c>
      <c r="H412" s="57">
        <f t="shared" si="407"/>
        <v>0</v>
      </c>
      <c r="I412" s="73">
        <f t="shared" si="408"/>
        <v>0</v>
      </c>
      <c r="J412" s="74">
        <v>22</v>
      </c>
      <c r="K412" s="57">
        <f t="shared" si="409"/>
        <v>0</v>
      </c>
      <c r="L412" s="75">
        <f t="shared" si="410"/>
        <v>0</v>
      </c>
      <c r="M412" s="76">
        <f t="shared" si="411"/>
        <v>0</v>
      </c>
      <c r="N412" s="76">
        <f t="shared" si="412"/>
        <v>0</v>
      </c>
      <c r="O412" s="77">
        <f t="shared" si="413"/>
        <v>0</v>
      </c>
      <c r="P412" s="77">
        <f t="shared" si="414"/>
        <v>0</v>
      </c>
      <c r="Q412" s="76">
        <f t="shared" si="415"/>
        <v>0</v>
      </c>
      <c r="R412" s="76">
        <f t="shared" si="416"/>
        <v>0</v>
      </c>
      <c r="S412" s="57">
        <f t="shared" si="417"/>
        <v>0</v>
      </c>
    </row>
    <row r="413" spans="1:19" x14ac:dyDescent="0.4">
      <c r="A413" s="57"/>
      <c r="B413" s="57" t="str">
        <f t="shared" si="418"/>
        <v>BAN2019</v>
      </c>
      <c r="C413" s="71"/>
      <c r="D413" s="57"/>
      <c r="E413" s="57"/>
      <c r="F413" s="71">
        <f t="shared" si="419"/>
        <v>153</v>
      </c>
      <c r="G413" s="72">
        <f t="shared" si="420"/>
        <v>0</v>
      </c>
      <c r="H413" s="57">
        <f t="shared" si="407"/>
        <v>0</v>
      </c>
      <c r="I413" s="73">
        <f t="shared" si="408"/>
        <v>0</v>
      </c>
      <c r="J413" s="74">
        <v>22</v>
      </c>
      <c r="K413" s="57">
        <f t="shared" si="409"/>
        <v>0</v>
      </c>
      <c r="L413" s="75">
        <f t="shared" si="410"/>
        <v>0</v>
      </c>
      <c r="M413" s="76">
        <f t="shared" si="411"/>
        <v>0</v>
      </c>
      <c r="N413" s="76">
        <f t="shared" si="412"/>
        <v>0</v>
      </c>
      <c r="O413" s="77">
        <f t="shared" si="413"/>
        <v>0</v>
      </c>
      <c r="P413" s="77">
        <f t="shared" si="414"/>
        <v>0</v>
      </c>
      <c r="Q413" s="76">
        <f t="shared" si="415"/>
        <v>0</v>
      </c>
      <c r="R413" s="76">
        <f t="shared" si="416"/>
        <v>0</v>
      </c>
      <c r="S413" s="57">
        <f t="shared" si="417"/>
        <v>0</v>
      </c>
    </row>
    <row r="414" spans="1:19" x14ac:dyDescent="0.4">
      <c r="A414" s="57"/>
      <c r="B414" s="57" t="str">
        <f t="shared" si="418"/>
        <v>BAN2019</v>
      </c>
      <c r="C414" s="57"/>
      <c r="D414" s="57"/>
      <c r="E414" s="57"/>
      <c r="F414" s="71">
        <f t="shared" si="419"/>
        <v>183</v>
      </c>
      <c r="G414" s="72">
        <f t="shared" si="420"/>
        <v>0</v>
      </c>
      <c r="H414" s="57">
        <f t="shared" si="407"/>
        <v>0</v>
      </c>
      <c r="I414" s="73">
        <f t="shared" si="408"/>
        <v>0</v>
      </c>
      <c r="J414" s="74">
        <v>22</v>
      </c>
      <c r="K414" s="57">
        <f t="shared" si="409"/>
        <v>0</v>
      </c>
      <c r="L414" s="75">
        <f t="shared" si="410"/>
        <v>0</v>
      </c>
      <c r="M414" s="76">
        <f t="shared" si="411"/>
        <v>0</v>
      </c>
      <c r="N414" s="76">
        <f t="shared" si="412"/>
        <v>0</v>
      </c>
      <c r="O414" s="77">
        <f t="shared" si="413"/>
        <v>0</v>
      </c>
      <c r="P414" s="77">
        <f t="shared" si="414"/>
        <v>0</v>
      </c>
      <c r="Q414" s="76">
        <f t="shared" si="415"/>
        <v>0</v>
      </c>
      <c r="R414" s="76">
        <f t="shared" si="416"/>
        <v>0</v>
      </c>
      <c r="S414" s="57">
        <f t="shared" si="417"/>
        <v>0</v>
      </c>
    </row>
    <row r="415" spans="1:19" x14ac:dyDescent="0.4">
      <c r="A415" s="57"/>
      <c r="B415" s="57" t="str">
        <f t="shared" si="418"/>
        <v>BAN2019</v>
      </c>
      <c r="C415" s="57"/>
      <c r="D415" s="57"/>
      <c r="E415" s="57"/>
      <c r="F415" s="71">
        <f t="shared" si="419"/>
        <v>214</v>
      </c>
      <c r="G415" s="72">
        <f t="shared" si="420"/>
        <v>0</v>
      </c>
      <c r="H415" s="57">
        <f t="shared" si="407"/>
        <v>0</v>
      </c>
      <c r="I415" s="73">
        <f t="shared" si="408"/>
        <v>0</v>
      </c>
      <c r="J415" s="74">
        <v>22</v>
      </c>
      <c r="K415" s="57">
        <f t="shared" si="409"/>
        <v>0</v>
      </c>
      <c r="L415" s="75">
        <f t="shared" si="410"/>
        <v>0</v>
      </c>
      <c r="M415" s="76">
        <f t="shared" si="411"/>
        <v>0</v>
      </c>
      <c r="N415" s="76">
        <f t="shared" si="412"/>
        <v>0</v>
      </c>
      <c r="O415" s="77">
        <f t="shared" si="413"/>
        <v>0</v>
      </c>
      <c r="P415" s="77">
        <f t="shared" si="414"/>
        <v>0</v>
      </c>
      <c r="Q415" s="76">
        <f t="shared" si="415"/>
        <v>0</v>
      </c>
      <c r="R415" s="76">
        <f t="shared" si="416"/>
        <v>0</v>
      </c>
      <c r="S415" s="57">
        <f t="shared" si="417"/>
        <v>0</v>
      </c>
    </row>
    <row r="416" spans="1:19" x14ac:dyDescent="0.4">
      <c r="A416" s="57"/>
      <c r="B416" s="57" t="str">
        <f t="shared" si="418"/>
        <v>BAN2019</v>
      </c>
      <c r="C416" s="57"/>
      <c r="D416" s="79"/>
      <c r="E416" s="57"/>
      <c r="F416" s="71">
        <f t="shared" si="419"/>
        <v>245</v>
      </c>
      <c r="G416" s="72">
        <f t="shared" si="420"/>
        <v>0</v>
      </c>
      <c r="H416" s="57">
        <f t="shared" si="407"/>
        <v>0</v>
      </c>
      <c r="I416" s="73">
        <f t="shared" si="408"/>
        <v>0</v>
      </c>
      <c r="J416" s="74">
        <v>22</v>
      </c>
      <c r="K416" s="57">
        <f t="shared" si="409"/>
        <v>0</v>
      </c>
      <c r="L416" s="75">
        <f t="shared" si="410"/>
        <v>0</v>
      </c>
      <c r="M416" s="76">
        <f t="shared" si="411"/>
        <v>0</v>
      </c>
      <c r="N416" s="76">
        <f t="shared" si="412"/>
        <v>0</v>
      </c>
      <c r="O416" s="77">
        <f t="shared" si="413"/>
        <v>0</v>
      </c>
      <c r="P416" s="77">
        <f t="shared" si="414"/>
        <v>0</v>
      </c>
      <c r="Q416" s="76">
        <f t="shared" si="415"/>
        <v>0</v>
      </c>
      <c r="R416" s="76">
        <f t="shared" si="416"/>
        <v>0</v>
      </c>
      <c r="S416" s="57">
        <f t="shared" si="417"/>
        <v>0</v>
      </c>
    </row>
    <row r="417" spans="1:19" x14ac:dyDescent="0.4">
      <c r="A417" s="57"/>
      <c r="B417" s="57" t="str">
        <f t="shared" si="418"/>
        <v>BAN2019</v>
      </c>
      <c r="C417" s="57"/>
      <c r="D417" s="79"/>
      <c r="E417" s="57"/>
      <c r="F417" s="71">
        <f t="shared" si="419"/>
        <v>275</v>
      </c>
      <c r="G417" s="72">
        <f t="shared" si="420"/>
        <v>0</v>
      </c>
      <c r="H417" s="57">
        <f t="shared" si="407"/>
        <v>0</v>
      </c>
      <c r="I417" s="73">
        <f t="shared" si="408"/>
        <v>0</v>
      </c>
      <c r="J417" s="74">
        <v>22</v>
      </c>
      <c r="K417" s="57">
        <f t="shared" si="409"/>
        <v>0</v>
      </c>
      <c r="L417" s="75">
        <f t="shared" si="410"/>
        <v>0</v>
      </c>
      <c r="M417" s="76">
        <f t="shared" si="411"/>
        <v>0</v>
      </c>
      <c r="N417" s="76">
        <f t="shared" si="412"/>
        <v>0</v>
      </c>
      <c r="O417" s="77">
        <f t="shared" si="413"/>
        <v>0</v>
      </c>
      <c r="P417" s="77">
        <f t="shared" si="414"/>
        <v>0</v>
      </c>
      <c r="Q417" s="76">
        <f t="shared" si="415"/>
        <v>0</v>
      </c>
      <c r="R417" s="76">
        <f t="shared" si="416"/>
        <v>0</v>
      </c>
      <c r="S417" s="57">
        <f t="shared" si="417"/>
        <v>0</v>
      </c>
    </row>
    <row r="418" spans="1:19" x14ac:dyDescent="0.4">
      <c r="A418" s="57"/>
      <c r="B418" s="57" t="str">
        <f t="shared" si="418"/>
        <v>BAN2019</v>
      </c>
      <c r="C418" s="57"/>
      <c r="D418" s="57"/>
      <c r="E418" s="57"/>
      <c r="F418" s="71">
        <f t="shared" si="419"/>
        <v>306</v>
      </c>
      <c r="G418" s="72">
        <f t="shared" si="420"/>
        <v>0</v>
      </c>
      <c r="H418" s="57">
        <f t="shared" si="407"/>
        <v>0</v>
      </c>
      <c r="I418" s="73">
        <f t="shared" si="408"/>
        <v>0</v>
      </c>
      <c r="J418" s="74">
        <v>22</v>
      </c>
      <c r="K418" s="57">
        <f t="shared" si="409"/>
        <v>0</v>
      </c>
      <c r="L418" s="75">
        <f t="shared" si="410"/>
        <v>0</v>
      </c>
      <c r="M418" s="76">
        <f t="shared" si="411"/>
        <v>0</v>
      </c>
      <c r="N418" s="76">
        <f t="shared" si="412"/>
        <v>0</v>
      </c>
      <c r="O418" s="77">
        <f t="shared" si="413"/>
        <v>0</v>
      </c>
      <c r="P418" s="77">
        <f t="shared" si="414"/>
        <v>0</v>
      </c>
      <c r="Q418" s="76">
        <f t="shared" si="415"/>
        <v>0</v>
      </c>
      <c r="R418" s="76">
        <f t="shared" si="416"/>
        <v>0</v>
      </c>
      <c r="S418" s="57">
        <f t="shared" si="417"/>
        <v>0</v>
      </c>
    </row>
    <row r="419" spans="1:19" x14ac:dyDescent="0.4">
      <c r="A419" s="57"/>
      <c r="B419" s="57" t="str">
        <f t="shared" si="418"/>
        <v>BAN2019</v>
      </c>
      <c r="C419" s="57"/>
      <c r="D419" s="57"/>
      <c r="E419" s="57"/>
      <c r="F419" s="71">
        <f t="shared" si="419"/>
        <v>336</v>
      </c>
      <c r="G419" s="72">
        <f t="shared" si="420"/>
        <v>0</v>
      </c>
      <c r="H419" s="57">
        <f t="shared" si="407"/>
        <v>0</v>
      </c>
      <c r="I419" s="73">
        <f t="shared" si="408"/>
        <v>0</v>
      </c>
      <c r="J419" s="74">
        <v>22</v>
      </c>
      <c r="K419" s="57">
        <f t="shared" si="409"/>
        <v>0</v>
      </c>
      <c r="L419" s="75">
        <f t="shared" si="410"/>
        <v>0</v>
      </c>
      <c r="M419" s="76">
        <f t="shared" si="411"/>
        <v>0</v>
      </c>
      <c r="N419" s="76">
        <f t="shared" si="412"/>
        <v>0</v>
      </c>
      <c r="O419" s="77">
        <f t="shared" si="413"/>
        <v>0</v>
      </c>
      <c r="P419" s="77">
        <f t="shared" si="414"/>
        <v>0</v>
      </c>
      <c r="Q419" s="76">
        <f t="shared" si="415"/>
        <v>0</v>
      </c>
      <c r="R419" s="76">
        <f t="shared" si="416"/>
        <v>0</v>
      </c>
      <c r="S419" s="57">
        <f t="shared" si="417"/>
        <v>0</v>
      </c>
    </row>
    <row r="420" spans="1:19" x14ac:dyDescent="0.4">
      <c r="A420" s="57"/>
      <c r="B420" s="57" t="str">
        <f t="shared" si="418"/>
        <v>BAN2019</v>
      </c>
      <c r="C420" s="57"/>
      <c r="D420" s="57"/>
      <c r="E420" s="57"/>
      <c r="F420" s="71">
        <f t="shared" si="419"/>
        <v>367</v>
      </c>
      <c r="G420" s="72">
        <f t="shared" si="420"/>
        <v>0</v>
      </c>
      <c r="H420" s="57">
        <f t="shared" si="407"/>
        <v>0</v>
      </c>
      <c r="I420" s="73">
        <f t="shared" si="408"/>
        <v>0</v>
      </c>
      <c r="J420" s="74">
        <v>22</v>
      </c>
      <c r="K420" s="57">
        <f t="shared" si="409"/>
        <v>0</v>
      </c>
      <c r="L420" s="75">
        <f t="shared" si="410"/>
        <v>0</v>
      </c>
      <c r="M420" s="76">
        <f t="shared" si="411"/>
        <v>0</v>
      </c>
      <c r="N420" s="76">
        <f t="shared" si="412"/>
        <v>0</v>
      </c>
      <c r="O420" s="77">
        <f t="shared" si="413"/>
        <v>0</v>
      </c>
      <c r="P420" s="77">
        <f t="shared" si="414"/>
        <v>0</v>
      </c>
      <c r="Q420" s="76">
        <f t="shared" si="415"/>
        <v>0</v>
      </c>
      <c r="R420" s="76">
        <f t="shared" si="416"/>
        <v>0</v>
      </c>
      <c r="S420" s="57">
        <f t="shared" si="417"/>
        <v>0</v>
      </c>
    </row>
    <row r="421" spans="1:19" x14ac:dyDescent="0.4">
      <c r="B421" s="57"/>
    </row>
    <row r="422" spans="1:19" ht="123" customHeight="1" x14ac:dyDescent="0.4">
      <c r="A422" s="69" t="s">
        <v>11</v>
      </c>
      <c r="B422" s="69" t="s">
        <v>11</v>
      </c>
      <c r="C422" s="69" t="s">
        <v>155</v>
      </c>
      <c r="D422" s="69" t="s">
        <v>158</v>
      </c>
      <c r="E422" s="69" t="s">
        <v>185</v>
      </c>
      <c r="F422" s="69" t="s">
        <v>186</v>
      </c>
      <c r="G422" s="70" t="s">
        <v>156</v>
      </c>
      <c r="H422" s="69" t="s">
        <v>187</v>
      </c>
      <c r="I422" s="69" t="s">
        <v>188</v>
      </c>
      <c r="J422" s="69" t="s">
        <v>158</v>
      </c>
      <c r="K422" s="69" t="s">
        <v>159</v>
      </c>
      <c r="L422" s="69" t="s">
        <v>160</v>
      </c>
      <c r="M422" s="69" t="s">
        <v>161</v>
      </c>
      <c r="N422" s="69" t="s">
        <v>162</v>
      </c>
      <c r="O422" s="69" t="s">
        <v>163</v>
      </c>
      <c r="P422" s="69" t="s">
        <v>164</v>
      </c>
      <c r="Q422" s="69" t="s">
        <v>165</v>
      </c>
      <c r="R422" s="69" t="s">
        <v>166</v>
      </c>
      <c r="S422" s="69" t="s">
        <v>189</v>
      </c>
    </row>
    <row r="423" spans="1:19" x14ac:dyDescent="0.4">
      <c r="A423" s="57">
        <f>+A409+1</f>
        <v>31</v>
      </c>
      <c r="B423" s="57" t="str">
        <f>INDEX('sale resgister'!B:B,A423+1,1)</f>
        <v>BRAC99561</v>
      </c>
      <c r="C423" s="71">
        <f>+VLOOKUP(B423,'sale resgister'!B:J,9,0)</f>
        <v>46042</v>
      </c>
      <c r="D423" s="79" t="str">
        <f>+VLOOKUP(B423,'sale resgister'!B:J,2,0)</f>
        <v>Batch 3</v>
      </c>
      <c r="E423" s="96">
        <f>IF(C423=0,0,VLOOKUP(B423,'sale resgister'!B:J,4,0))</f>
        <v>33.417999999999999</v>
      </c>
      <c r="F423" s="71">
        <f>DATE(YEAR(C423),MONTH(C423)+1,1)</f>
        <v>46054</v>
      </c>
      <c r="G423" s="72">
        <f>E423</f>
        <v>33.417999999999999</v>
      </c>
      <c r="H423" s="57">
        <f t="shared" ref="H423:H434" si="421">ROUND(+G423*$H$1,3)</f>
        <v>2.339</v>
      </c>
      <c r="I423" s="73">
        <f t="shared" ref="I423:I434" si="422">IFERROR(+VLOOKUP(F423,$W$3:$X$15,2,0),0)</f>
        <v>15760</v>
      </c>
      <c r="J423" s="74">
        <v>22</v>
      </c>
      <c r="K423" s="57">
        <f t="shared" ref="K423:K434" si="423">ROUND(+H423*97%,3)</f>
        <v>2.2690000000000001</v>
      </c>
      <c r="L423" s="75">
        <f t="shared" ref="L423:L434" si="424">(K423-H423*92%)*I423</f>
        <v>1845.8111999999983</v>
      </c>
      <c r="M423" s="76">
        <f t="shared" ref="M423:M434" si="425">ROUND(I423*92%*H423,2)</f>
        <v>33913.629999999997</v>
      </c>
      <c r="N423" s="76">
        <f t="shared" ref="N423:N434" si="426">ROUND(+M423*0.11,2)</f>
        <v>3730.5</v>
      </c>
      <c r="O423" s="77">
        <f t="shared" ref="O423:O434" si="427">+N423-L423</f>
        <v>1884.6888000000017</v>
      </c>
      <c r="P423" s="77">
        <f t="shared" ref="P423:P434" si="428">ROUND(+O423*15%,2)</f>
        <v>282.7</v>
      </c>
      <c r="Q423" s="76">
        <f t="shared" ref="Q423:Q434" si="429">ROUND(+(O423-P423)*60%,2)</f>
        <v>961.19</v>
      </c>
      <c r="R423" s="76">
        <f t="shared" ref="R423:R434" si="430">ROUND(+(O423-P423)*40%,2)</f>
        <v>640.79999999999995</v>
      </c>
      <c r="S423" s="57">
        <f t="shared" ref="S423:S434" si="431">IFERROR(ROUND(+Q423/(I423/92%),3),0)</f>
        <v>5.6000000000000001E-2</v>
      </c>
    </row>
    <row r="424" spans="1:19" x14ac:dyDescent="0.4">
      <c r="A424" s="57"/>
      <c r="B424" s="57" t="str">
        <f t="shared" ref="B424:B434" si="432">+B423</f>
        <v>BRAC99561</v>
      </c>
      <c r="C424" s="57"/>
      <c r="D424" s="57"/>
      <c r="E424" s="57"/>
      <c r="F424" s="71">
        <f t="shared" ref="F424:F434" si="433">IF(+DATE(YEAR(F423),MONTH(F423)+1,1)&gt;$G$1+1,0,+DATE(YEAR(F423),MONTH(F423)+1,1))</f>
        <v>46082</v>
      </c>
      <c r="G424" s="72">
        <f t="shared" ref="G424:G434" si="434">ROUND(IF(F424=0,0,(G423+S423)),3)</f>
        <v>33.473999999999997</v>
      </c>
      <c r="H424" s="57">
        <f t="shared" si="421"/>
        <v>2.343</v>
      </c>
      <c r="I424" s="73">
        <f t="shared" si="422"/>
        <v>17200</v>
      </c>
      <c r="J424" s="74">
        <v>22</v>
      </c>
      <c r="K424" s="57">
        <f t="shared" si="423"/>
        <v>2.2730000000000001</v>
      </c>
      <c r="L424" s="75">
        <f t="shared" si="424"/>
        <v>2019.9680000000037</v>
      </c>
      <c r="M424" s="76">
        <f t="shared" si="425"/>
        <v>37075.629999999997</v>
      </c>
      <c r="N424" s="76">
        <f t="shared" si="426"/>
        <v>4078.32</v>
      </c>
      <c r="O424" s="77">
        <f t="shared" si="427"/>
        <v>2058.3519999999962</v>
      </c>
      <c r="P424" s="77">
        <f t="shared" si="428"/>
        <v>308.75</v>
      </c>
      <c r="Q424" s="76">
        <f t="shared" si="429"/>
        <v>1049.76</v>
      </c>
      <c r="R424" s="76">
        <f t="shared" si="430"/>
        <v>699.84</v>
      </c>
      <c r="S424" s="57">
        <f t="shared" si="431"/>
        <v>5.6000000000000001E-2</v>
      </c>
    </row>
    <row r="425" spans="1:19" x14ac:dyDescent="0.4">
      <c r="A425" s="57"/>
      <c r="B425" s="57" t="str">
        <f t="shared" si="432"/>
        <v>BRAC99561</v>
      </c>
      <c r="C425" s="57"/>
      <c r="D425" s="57"/>
      <c r="E425" s="71"/>
      <c r="F425" s="71">
        <f t="shared" si="433"/>
        <v>46113</v>
      </c>
      <c r="G425" s="72">
        <f t="shared" si="434"/>
        <v>33.53</v>
      </c>
      <c r="H425" s="57">
        <f t="shared" si="421"/>
        <v>2.347</v>
      </c>
      <c r="I425" s="73">
        <f t="shared" si="422"/>
        <v>15450</v>
      </c>
      <c r="J425" s="74">
        <v>22</v>
      </c>
      <c r="K425" s="57">
        <f t="shared" si="423"/>
        <v>2.2770000000000001</v>
      </c>
      <c r="L425" s="75">
        <f t="shared" si="424"/>
        <v>1819.3920000000014</v>
      </c>
      <c r="M425" s="76">
        <f t="shared" si="425"/>
        <v>33360.26</v>
      </c>
      <c r="N425" s="76">
        <f t="shared" si="426"/>
        <v>3669.63</v>
      </c>
      <c r="O425" s="77">
        <f t="shared" si="427"/>
        <v>1850.2379999999987</v>
      </c>
      <c r="P425" s="77">
        <f t="shared" si="428"/>
        <v>277.54000000000002</v>
      </c>
      <c r="Q425" s="76">
        <f t="shared" si="429"/>
        <v>943.62</v>
      </c>
      <c r="R425" s="76">
        <f t="shared" si="430"/>
        <v>629.08000000000004</v>
      </c>
      <c r="S425" s="57">
        <f t="shared" si="431"/>
        <v>5.6000000000000001E-2</v>
      </c>
    </row>
    <row r="426" spans="1:19" x14ac:dyDescent="0.4">
      <c r="A426" s="57"/>
      <c r="B426" s="57" t="str">
        <f t="shared" si="432"/>
        <v>BRAC99561</v>
      </c>
      <c r="C426" s="57"/>
      <c r="D426" s="57"/>
      <c r="E426" s="57"/>
      <c r="F426" s="71">
        <f t="shared" si="433"/>
        <v>0</v>
      </c>
      <c r="G426" s="72">
        <f t="shared" si="434"/>
        <v>0</v>
      </c>
      <c r="H426" s="57">
        <f t="shared" si="421"/>
        <v>0</v>
      </c>
      <c r="I426" s="73">
        <f t="shared" si="422"/>
        <v>0</v>
      </c>
      <c r="J426" s="74">
        <v>22</v>
      </c>
      <c r="K426" s="57">
        <f t="shared" si="423"/>
        <v>0</v>
      </c>
      <c r="L426" s="75">
        <f t="shared" si="424"/>
        <v>0</v>
      </c>
      <c r="M426" s="76">
        <f t="shared" si="425"/>
        <v>0</v>
      </c>
      <c r="N426" s="76">
        <f t="shared" si="426"/>
        <v>0</v>
      </c>
      <c r="O426" s="77">
        <f t="shared" si="427"/>
        <v>0</v>
      </c>
      <c r="P426" s="77">
        <f t="shared" si="428"/>
        <v>0</v>
      </c>
      <c r="Q426" s="76">
        <f t="shared" si="429"/>
        <v>0</v>
      </c>
      <c r="R426" s="76">
        <f t="shared" si="430"/>
        <v>0</v>
      </c>
      <c r="S426" s="57">
        <f t="shared" si="431"/>
        <v>0</v>
      </c>
    </row>
    <row r="427" spans="1:19" x14ac:dyDescent="0.4">
      <c r="A427" s="57"/>
      <c r="B427" s="57" t="str">
        <f t="shared" si="432"/>
        <v>BRAC99561</v>
      </c>
      <c r="C427" s="71"/>
      <c r="D427" s="57"/>
      <c r="E427" s="57"/>
      <c r="F427" s="71">
        <f t="shared" si="433"/>
        <v>32</v>
      </c>
      <c r="G427" s="72">
        <f t="shared" si="434"/>
        <v>0</v>
      </c>
      <c r="H427" s="57">
        <f t="shared" si="421"/>
        <v>0</v>
      </c>
      <c r="I427" s="73">
        <f t="shared" si="422"/>
        <v>0</v>
      </c>
      <c r="J427" s="74">
        <v>22</v>
      </c>
      <c r="K427" s="57">
        <f t="shared" si="423"/>
        <v>0</v>
      </c>
      <c r="L427" s="75">
        <f t="shared" si="424"/>
        <v>0</v>
      </c>
      <c r="M427" s="76">
        <f t="shared" si="425"/>
        <v>0</v>
      </c>
      <c r="N427" s="76">
        <f t="shared" si="426"/>
        <v>0</v>
      </c>
      <c r="O427" s="77">
        <f t="shared" si="427"/>
        <v>0</v>
      </c>
      <c r="P427" s="77">
        <f t="shared" si="428"/>
        <v>0</v>
      </c>
      <c r="Q427" s="76">
        <f t="shared" si="429"/>
        <v>0</v>
      </c>
      <c r="R427" s="76">
        <f t="shared" si="430"/>
        <v>0</v>
      </c>
      <c r="S427" s="57">
        <f t="shared" si="431"/>
        <v>0</v>
      </c>
    </row>
    <row r="428" spans="1:19" x14ac:dyDescent="0.4">
      <c r="A428" s="57"/>
      <c r="B428" s="57" t="str">
        <f t="shared" si="432"/>
        <v>BRAC99561</v>
      </c>
      <c r="C428" s="57"/>
      <c r="D428" s="57"/>
      <c r="E428" s="57"/>
      <c r="F428" s="71">
        <f t="shared" si="433"/>
        <v>61</v>
      </c>
      <c r="G428" s="72">
        <f t="shared" si="434"/>
        <v>0</v>
      </c>
      <c r="H428" s="57">
        <f t="shared" si="421"/>
        <v>0</v>
      </c>
      <c r="I428" s="73">
        <f t="shared" si="422"/>
        <v>0</v>
      </c>
      <c r="J428" s="74">
        <v>22</v>
      </c>
      <c r="K428" s="57">
        <f t="shared" si="423"/>
        <v>0</v>
      </c>
      <c r="L428" s="75">
        <f t="shared" si="424"/>
        <v>0</v>
      </c>
      <c r="M428" s="76">
        <f t="shared" si="425"/>
        <v>0</v>
      </c>
      <c r="N428" s="76">
        <f t="shared" si="426"/>
        <v>0</v>
      </c>
      <c r="O428" s="77">
        <f t="shared" si="427"/>
        <v>0</v>
      </c>
      <c r="P428" s="77">
        <f t="shared" si="428"/>
        <v>0</v>
      </c>
      <c r="Q428" s="76">
        <f t="shared" si="429"/>
        <v>0</v>
      </c>
      <c r="R428" s="76">
        <f t="shared" si="430"/>
        <v>0</v>
      </c>
      <c r="S428" s="57">
        <f t="shared" si="431"/>
        <v>0</v>
      </c>
    </row>
    <row r="429" spans="1:19" x14ac:dyDescent="0.4">
      <c r="A429" s="57"/>
      <c r="B429" s="57" t="str">
        <f t="shared" si="432"/>
        <v>BRAC99561</v>
      </c>
      <c r="C429" s="57"/>
      <c r="D429" s="57"/>
      <c r="E429" s="57"/>
      <c r="F429" s="71">
        <f t="shared" si="433"/>
        <v>92</v>
      </c>
      <c r="G429" s="72">
        <f t="shared" si="434"/>
        <v>0</v>
      </c>
      <c r="H429" s="57">
        <f t="shared" si="421"/>
        <v>0</v>
      </c>
      <c r="I429" s="73">
        <f t="shared" si="422"/>
        <v>0</v>
      </c>
      <c r="J429" s="74">
        <v>22</v>
      </c>
      <c r="K429" s="57">
        <f t="shared" si="423"/>
        <v>0</v>
      </c>
      <c r="L429" s="75">
        <f t="shared" si="424"/>
        <v>0</v>
      </c>
      <c r="M429" s="76">
        <f t="shared" si="425"/>
        <v>0</v>
      </c>
      <c r="N429" s="76">
        <f t="shared" si="426"/>
        <v>0</v>
      </c>
      <c r="O429" s="77">
        <f t="shared" si="427"/>
        <v>0</v>
      </c>
      <c r="P429" s="77">
        <f t="shared" si="428"/>
        <v>0</v>
      </c>
      <c r="Q429" s="76">
        <f t="shared" si="429"/>
        <v>0</v>
      </c>
      <c r="R429" s="76">
        <f t="shared" si="430"/>
        <v>0</v>
      </c>
      <c r="S429" s="57">
        <f t="shared" si="431"/>
        <v>0</v>
      </c>
    </row>
    <row r="430" spans="1:19" x14ac:dyDescent="0.4">
      <c r="A430" s="57"/>
      <c r="B430" s="57" t="str">
        <f t="shared" si="432"/>
        <v>BRAC99561</v>
      </c>
      <c r="C430" s="57"/>
      <c r="D430" s="79"/>
      <c r="E430" s="57"/>
      <c r="F430" s="71">
        <f t="shared" si="433"/>
        <v>122</v>
      </c>
      <c r="G430" s="72">
        <f t="shared" si="434"/>
        <v>0</v>
      </c>
      <c r="H430" s="57">
        <f t="shared" si="421"/>
        <v>0</v>
      </c>
      <c r="I430" s="73">
        <f t="shared" si="422"/>
        <v>0</v>
      </c>
      <c r="J430" s="74">
        <v>22</v>
      </c>
      <c r="K430" s="57">
        <f t="shared" si="423"/>
        <v>0</v>
      </c>
      <c r="L430" s="75">
        <f t="shared" si="424"/>
        <v>0</v>
      </c>
      <c r="M430" s="76">
        <f t="shared" si="425"/>
        <v>0</v>
      </c>
      <c r="N430" s="76">
        <f t="shared" si="426"/>
        <v>0</v>
      </c>
      <c r="O430" s="77">
        <f t="shared" si="427"/>
        <v>0</v>
      </c>
      <c r="P430" s="77">
        <f t="shared" si="428"/>
        <v>0</v>
      </c>
      <c r="Q430" s="76">
        <f t="shared" si="429"/>
        <v>0</v>
      </c>
      <c r="R430" s="76">
        <f t="shared" si="430"/>
        <v>0</v>
      </c>
      <c r="S430" s="57">
        <f t="shared" si="431"/>
        <v>0</v>
      </c>
    </row>
    <row r="431" spans="1:19" x14ac:dyDescent="0.4">
      <c r="A431" s="57"/>
      <c r="B431" s="57" t="str">
        <f t="shared" si="432"/>
        <v>BRAC99561</v>
      </c>
      <c r="C431" s="57"/>
      <c r="D431" s="79"/>
      <c r="E431" s="57"/>
      <c r="F431" s="71">
        <f t="shared" si="433"/>
        <v>153</v>
      </c>
      <c r="G431" s="72">
        <f t="shared" si="434"/>
        <v>0</v>
      </c>
      <c r="H431" s="57">
        <f t="shared" si="421"/>
        <v>0</v>
      </c>
      <c r="I431" s="73">
        <f t="shared" si="422"/>
        <v>0</v>
      </c>
      <c r="J431" s="74">
        <v>22</v>
      </c>
      <c r="K431" s="57">
        <f t="shared" si="423"/>
        <v>0</v>
      </c>
      <c r="L431" s="75">
        <f t="shared" si="424"/>
        <v>0</v>
      </c>
      <c r="M431" s="76">
        <f t="shared" si="425"/>
        <v>0</v>
      </c>
      <c r="N431" s="76">
        <f t="shared" si="426"/>
        <v>0</v>
      </c>
      <c r="O431" s="77">
        <f t="shared" si="427"/>
        <v>0</v>
      </c>
      <c r="P431" s="77">
        <f t="shared" si="428"/>
        <v>0</v>
      </c>
      <c r="Q431" s="76">
        <f t="shared" si="429"/>
        <v>0</v>
      </c>
      <c r="R431" s="76">
        <f t="shared" si="430"/>
        <v>0</v>
      </c>
      <c r="S431" s="57">
        <f t="shared" si="431"/>
        <v>0</v>
      </c>
    </row>
    <row r="432" spans="1:19" x14ac:dyDescent="0.4">
      <c r="A432" s="57"/>
      <c r="B432" s="57" t="str">
        <f t="shared" si="432"/>
        <v>BRAC99561</v>
      </c>
      <c r="C432" s="57"/>
      <c r="D432" s="57"/>
      <c r="E432" s="57"/>
      <c r="F432" s="71">
        <f t="shared" si="433"/>
        <v>183</v>
      </c>
      <c r="G432" s="72">
        <f t="shared" si="434"/>
        <v>0</v>
      </c>
      <c r="H432" s="57">
        <f t="shared" si="421"/>
        <v>0</v>
      </c>
      <c r="I432" s="73">
        <f t="shared" si="422"/>
        <v>0</v>
      </c>
      <c r="J432" s="74">
        <v>22</v>
      </c>
      <c r="K432" s="57">
        <f t="shared" si="423"/>
        <v>0</v>
      </c>
      <c r="L432" s="75">
        <f t="shared" si="424"/>
        <v>0</v>
      </c>
      <c r="M432" s="76">
        <f t="shared" si="425"/>
        <v>0</v>
      </c>
      <c r="N432" s="76">
        <f t="shared" si="426"/>
        <v>0</v>
      </c>
      <c r="O432" s="77">
        <f t="shared" si="427"/>
        <v>0</v>
      </c>
      <c r="P432" s="77">
        <f t="shared" si="428"/>
        <v>0</v>
      </c>
      <c r="Q432" s="76">
        <f t="shared" si="429"/>
        <v>0</v>
      </c>
      <c r="R432" s="76">
        <f t="shared" si="430"/>
        <v>0</v>
      </c>
      <c r="S432" s="57">
        <f t="shared" si="431"/>
        <v>0</v>
      </c>
    </row>
    <row r="433" spans="1:19" x14ac:dyDescent="0.4">
      <c r="A433" s="57"/>
      <c r="B433" s="57" t="str">
        <f t="shared" si="432"/>
        <v>BRAC99561</v>
      </c>
      <c r="C433" s="57"/>
      <c r="D433" s="57"/>
      <c r="E433" s="57"/>
      <c r="F433" s="71">
        <f t="shared" si="433"/>
        <v>214</v>
      </c>
      <c r="G433" s="72">
        <f t="shared" si="434"/>
        <v>0</v>
      </c>
      <c r="H433" s="57">
        <f t="shared" si="421"/>
        <v>0</v>
      </c>
      <c r="I433" s="73">
        <f t="shared" si="422"/>
        <v>0</v>
      </c>
      <c r="J433" s="74">
        <v>22</v>
      </c>
      <c r="K433" s="57">
        <f t="shared" si="423"/>
        <v>0</v>
      </c>
      <c r="L433" s="75">
        <f t="shared" si="424"/>
        <v>0</v>
      </c>
      <c r="M433" s="76">
        <f t="shared" si="425"/>
        <v>0</v>
      </c>
      <c r="N433" s="76">
        <f t="shared" si="426"/>
        <v>0</v>
      </c>
      <c r="O433" s="77">
        <f t="shared" si="427"/>
        <v>0</v>
      </c>
      <c r="P433" s="77">
        <f t="shared" si="428"/>
        <v>0</v>
      </c>
      <c r="Q433" s="76">
        <f t="shared" si="429"/>
        <v>0</v>
      </c>
      <c r="R433" s="76">
        <f t="shared" si="430"/>
        <v>0</v>
      </c>
      <c r="S433" s="57">
        <f t="shared" si="431"/>
        <v>0</v>
      </c>
    </row>
    <row r="434" spans="1:19" x14ac:dyDescent="0.4">
      <c r="A434" s="57"/>
      <c r="B434" s="57" t="str">
        <f t="shared" si="432"/>
        <v>BRAC99561</v>
      </c>
      <c r="C434" s="57"/>
      <c r="D434" s="57"/>
      <c r="E434" s="57"/>
      <c r="F434" s="71">
        <f t="shared" si="433"/>
        <v>245</v>
      </c>
      <c r="G434" s="72">
        <f t="shared" si="434"/>
        <v>0</v>
      </c>
      <c r="H434" s="57">
        <f t="shared" si="421"/>
        <v>0</v>
      </c>
      <c r="I434" s="73">
        <f t="shared" si="422"/>
        <v>0</v>
      </c>
      <c r="J434" s="74">
        <v>22</v>
      </c>
      <c r="K434" s="57">
        <f t="shared" si="423"/>
        <v>0</v>
      </c>
      <c r="L434" s="75">
        <f t="shared" si="424"/>
        <v>0</v>
      </c>
      <c r="M434" s="76">
        <f t="shared" si="425"/>
        <v>0</v>
      </c>
      <c r="N434" s="76">
        <f t="shared" si="426"/>
        <v>0</v>
      </c>
      <c r="O434" s="77">
        <f t="shared" si="427"/>
        <v>0</v>
      </c>
      <c r="P434" s="77">
        <f t="shared" si="428"/>
        <v>0</v>
      </c>
      <c r="Q434" s="76">
        <f t="shared" si="429"/>
        <v>0</v>
      </c>
      <c r="R434" s="76">
        <f t="shared" si="430"/>
        <v>0</v>
      </c>
      <c r="S434" s="57">
        <f t="shared" si="431"/>
        <v>0</v>
      </c>
    </row>
    <row r="435" spans="1:19" x14ac:dyDescent="0.4">
      <c r="B435" s="57"/>
    </row>
    <row r="436" spans="1:19" ht="123" customHeight="1" x14ac:dyDescent="0.4">
      <c r="A436" s="69" t="s">
        <v>11</v>
      </c>
      <c r="B436" s="69" t="s">
        <v>11</v>
      </c>
      <c r="C436" s="69" t="s">
        <v>155</v>
      </c>
      <c r="D436" s="69" t="s">
        <v>158</v>
      </c>
      <c r="E436" s="69" t="s">
        <v>185</v>
      </c>
      <c r="F436" s="69" t="s">
        <v>186</v>
      </c>
      <c r="G436" s="70" t="s">
        <v>156</v>
      </c>
      <c r="H436" s="69" t="s">
        <v>187</v>
      </c>
      <c r="I436" s="69" t="s">
        <v>188</v>
      </c>
      <c r="J436" s="69" t="s">
        <v>158</v>
      </c>
      <c r="K436" s="69" t="s">
        <v>159</v>
      </c>
      <c r="L436" s="69" t="s">
        <v>160</v>
      </c>
      <c r="M436" s="69" t="s">
        <v>161</v>
      </c>
      <c r="N436" s="69" t="s">
        <v>162</v>
      </c>
      <c r="O436" s="69" t="s">
        <v>163</v>
      </c>
      <c r="P436" s="69" t="s">
        <v>164</v>
      </c>
      <c r="Q436" s="69" t="s">
        <v>165</v>
      </c>
      <c r="R436" s="69" t="s">
        <v>166</v>
      </c>
      <c r="S436" s="69" t="s">
        <v>189</v>
      </c>
    </row>
    <row r="437" spans="1:19" x14ac:dyDescent="0.4">
      <c r="A437" s="57">
        <f>+A423+1</f>
        <v>32</v>
      </c>
      <c r="B437" s="57" t="str">
        <f>INDEX('sale resgister'!B:B,A437+1,1)</f>
        <v>BAN2018</v>
      </c>
      <c r="C437" s="71">
        <f>+VLOOKUP(B437,'sale resgister'!B:J,9,0)</f>
        <v>0</v>
      </c>
      <c r="D437" s="79" t="str">
        <f>+VLOOKUP(B437,'sale resgister'!B:J,2,0)</f>
        <v>Batch 3</v>
      </c>
      <c r="E437" s="96">
        <f>IF(C437=0,0,VLOOKUP(B437,'sale resgister'!B:J,4,0))</f>
        <v>0</v>
      </c>
      <c r="F437" s="71">
        <f>DATE(YEAR(C437),MONTH(C437)+1,1)</f>
        <v>32</v>
      </c>
      <c r="G437" s="72">
        <f>E437</f>
        <v>0</v>
      </c>
      <c r="H437" s="57">
        <f t="shared" ref="H437:H448" si="435">ROUND(+G437*$H$1,3)</f>
        <v>0</v>
      </c>
      <c r="I437" s="73">
        <f t="shared" ref="I437:I448" si="436">IFERROR(+VLOOKUP(F437,$W$3:$X$15,2,0),0)</f>
        <v>0</v>
      </c>
      <c r="J437" s="74">
        <v>22</v>
      </c>
      <c r="K437" s="57">
        <f t="shared" ref="K437:K448" si="437">ROUND(+H437*97%,3)</f>
        <v>0</v>
      </c>
      <c r="L437" s="75">
        <f t="shared" ref="L437:L448" si="438">(K437-H437*92%)*I437</f>
        <v>0</v>
      </c>
      <c r="M437" s="76">
        <f t="shared" ref="M437:M448" si="439">ROUND(I437*92%*H437,2)</f>
        <v>0</v>
      </c>
      <c r="N437" s="76">
        <f t="shared" ref="N437:N448" si="440">ROUND(+M437*0.11,2)</f>
        <v>0</v>
      </c>
      <c r="O437" s="77">
        <f t="shared" ref="O437:O448" si="441">+N437-L437</f>
        <v>0</v>
      </c>
      <c r="P437" s="77">
        <f t="shared" ref="P437:P448" si="442">ROUND(+O437*15%,2)</f>
        <v>0</v>
      </c>
      <c r="Q437" s="76">
        <f t="shared" ref="Q437:Q448" si="443">ROUND(+(O437-P437)*60%,2)</f>
        <v>0</v>
      </c>
      <c r="R437" s="76">
        <f t="shared" ref="R437:R448" si="444">ROUND(+(O437-P437)*40%,2)</f>
        <v>0</v>
      </c>
      <c r="S437" s="57">
        <f t="shared" ref="S437:S448" si="445">IFERROR(ROUND(+Q437/(I437/92%),3),0)</f>
        <v>0</v>
      </c>
    </row>
    <row r="438" spans="1:19" x14ac:dyDescent="0.4">
      <c r="A438" s="57"/>
      <c r="B438" s="57" t="str">
        <f t="shared" ref="B438:B448" si="446">+B437</f>
        <v>BAN2018</v>
      </c>
      <c r="C438" s="57"/>
      <c r="D438" s="57"/>
      <c r="E438" s="57"/>
      <c r="F438" s="71">
        <f t="shared" ref="F438:F448" si="447">IF(+DATE(YEAR(F437),MONTH(F437)+1,1)&gt;$G$1+1,0,+DATE(YEAR(F437),MONTH(F437)+1,1))</f>
        <v>61</v>
      </c>
      <c r="G438" s="72">
        <f t="shared" ref="G438:G448" si="448">ROUND(IF(F438=0,0,(G437+S437)),3)</f>
        <v>0</v>
      </c>
      <c r="H438" s="57">
        <f t="shared" si="435"/>
        <v>0</v>
      </c>
      <c r="I438" s="73">
        <f t="shared" si="436"/>
        <v>0</v>
      </c>
      <c r="J438" s="74">
        <v>22</v>
      </c>
      <c r="K438" s="57">
        <f t="shared" si="437"/>
        <v>0</v>
      </c>
      <c r="L438" s="75">
        <f t="shared" si="438"/>
        <v>0</v>
      </c>
      <c r="M438" s="76">
        <f t="shared" si="439"/>
        <v>0</v>
      </c>
      <c r="N438" s="76">
        <f t="shared" si="440"/>
        <v>0</v>
      </c>
      <c r="O438" s="77">
        <f t="shared" si="441"/>
        <v>0</v>
      </c>
      <c r="P438" s="77">
        <f t="shared" si="442"/>
        <v>0</v>
      </c>
      <c r="Q438" s="76">
        <f t="shared" si="443"/>
        <v>0</v>
      </c>
      <c r="R438" s="76">
        <f t="shared" si="444"/>
        <v>0</v>
      </c>
      <c r="S438" s="57">
        <f t="shared" si="445"/>
        <v>0</v>
      </c>
    </row>
    <row r="439" spans="1:19" x14ac:dyDescent="0.4">
      <c r="A439" s="57"/>
      <c r="B439" s="57" t="str">
        <f t="shared" si="446"/>
        <v>BAN2018</v>
      </c>
      <c r="C439" s="57"/>
      <c r="D439" s="57"/>
      <c r="E439" s="71"/>
      <c r="F439" s="71">
        <f t="shared" si="447"/>
        <v>92</v>
      </c>
      <c r="G439" s="72">
        <f t="shared" si="448"/>
        <v>0</v>
      </c>
      <c r="H439" s="57">
        <f t="shared" si="435"/>
        <v>0</v>
      </c>
      <c r="I439" s="73">
        <f t="shared" si="436"/>
        <v>0</v>
      </c>
      <c r="J439" s="74">
        <v>22</v>
      </c>
      <c r="K439" s="57">
        <f t="shared" si="437"/>
        <v>0</v>
      </c>
      <c r="L439" s="75">
        <f t="shared" si="438"/>
        <v>0</v>
      </c>
      <c r="M439" s="76">
        <f t="shared" si="439"/>
        <v>0</v>
      </c>
      <c r="N439" s="76">
        <f t="shared" si="440"/>
        <v>0</v>
      </c>
      <c r="O439" s="77">
        <f t="shared" si="441"/>
        <v>0</v>
      </c>
      <c r="P439" s="77">
        <f t="shared" si="442"/>
        <v>0</v>
      </c>
      <c r="Q439" s="76">
        <f t="shared" si="443"/>
        <v>0</v>
      </c>
      <c r="R439" s="76">
        <f t="shared" si="444"/>
        <v>0</v>
      </c>
      <c r="S439" s="57">
        <f t="shared" si="445"/>
        <v>0</v>
      </c>
    </row>
    <row r="440" spans="1:19" x14ac:dyDescent="0.4">
      <c r="A440" s="57"/>
      <c r="B440" s="57" t="str">
        <f t="shared" si="446"/>
        <v>BAN2018</v>
      </c>
      <c r="C440" s="57"/>
      <c r="D440" s="57"/>
      <c r="E440" s="57"/>
      <c r="F440" s="71">
        <f t="shared" si="447"/>
        <v>122</v>
      </c>
      <c r="G440" s="72">
        <f t="shared" si="448"/>
        <v>0</v>
      </c>
      <c r="H440" s="57">
        <f t="shared" si="435"/>
        <v>0</v>
      </c>
      <c r="I440" s="73">
        <f t="shared" si="436"/>
        <v>0</v>
      </c>
      <c r="J440" s="74">
        <v>22</v>
      </c>
      <c r="K440" s="57">
        <f t="shared" si="437"/>
        <v>0</v>
      </c>
      <c r="L440" s="75">
        <f t="shared" si="438"/>
        <v>0</v>
      </c>
      <c r="M440" s="76">
        <f t="shared" si="439"/>
        <v>0</v>
      </c>
      <c r="N440" s="76">
        <f t="shared" si="440"/>
        <v>0</v>
      </c>
      <c r="O440" s="77">
        <f t="shared" si="441"/>
        <v>0</v>
      </c>
      <c r="P440" s="77">
        <f t="shared" si="442"/>
        <v>0</v>
      </c>
      <c r="Q440" s="76">
        <f t="shared" si="443"/>
        <v>0</v>
      </c>
      <c r="R440" s="76">
        <f t="shared" si="444"/>
        <v>0</v>
      </c>
      <c r="S440" s="57">
        <f t="shared" si="445"/>
        <v>0</v>
      </c>
    </row>
    <row r="441" spans="1:19" x14ac:dyDescent="0.4">
      <c r="A441" s="57"/>
      <c r="B441" s="57" t="str">
        <f t="shared" si="446"/>
        <v>BAN2018</v>
      </c>
      <c r="C441" s="71"/>
      <c r="D441" s="57"/>
      <c r="E441" s="57"/>
      <c r="F441" s="71">
        <f t="shared" si="447"/>
        <v>153</v>
      </c>
      <c r="G441" s="72">
        <f t="shared" si="448"/>
        <v>0</v>
      </c>
      <c r="H441" s="57">
        <f t="shared" si="435"/>
        <v>0</v>
      </c>
      <c r="I441" s="73">
        <f t="shared" si="436"/>
        <v>0</v>
      </c>
      <c r="J441" s="74">
        <v>22</v>
      </c>
      <c r="K441" s="57">
        <f t="shared" si="437"/>
        <v>0</v>
      </c>
      <c r="L441" s="75">
        <f t="shared" si="438"/>
        <v>0</v>
      </c>
      <c r="M441" s="76">
        <f t="shared" si="439"/>
        <v>0</v>
      </c>
      <c r="N441" s="76">
        <f t="shared" si="440"/>
        <v>0</v>
      </c>
      <c r="O441" s="77">
        <f t="shared" si="441"/>
        <v>0</v>
      </c>
      <c r="P441" s="77">
        <f t="shared" si="442"/>
        <v>0</v>
      </c>
      <c r="Q441" s="76">
        <f t="shared" si="443"/>
        <v>0</v>
      </c>
      <c r="R441" s="76">
        <f t="shared" si="444"/>
        <v>0</v>
      </c>
      <c r="S441" s="57">
        <f t="shared" si="445"/>
        <v>0</v>
      </c>
    </row>
    <row r="442" spans="1:19" x14ac:dyDescent="0.4">
      <c r="A442" s="57"/>
      <c r="B442" s="57" t="str">
        <f t="shared" si="446"/>
        <v>BAN2018</v>
      </c>
      <c r="C442" s="57"/>
      <c r="D442" s="57"/>
      <c r="E442" s="57"/>
      <c r="F442" s="71">
        <f t="shared" si="447"/>
        <v>183</v>
      </c>
      <c r="G442" s="72">
        <f t="shared" si="448"/>
        <v>0</v>
      </c>
      <c r="H442" s="57">
        <f t="shared" si="435"/>
        <v>0</v>
      </c>
      <c r="I442" s="73">
        <f t="shared" si="436"/>
        <v>0</v>
      </c>
      <c r="J442" s="74">
        <v>22</v>
      </c>
      <c r="K442" s="57">
        <f t="shared" si="437"/>
        <v>0</v>
      </c>
      <c r="L442" s="75">
        <f t="shared" si="438"/>
        <v>0</v>
      </c>
      <c r="M442" s="76">
        <f t="shared" si="439"/>
        <v>0</v>
      </c>
      <c r="N442" s="76">
        <f t="shared" si="440"/>
        <v>0</v>
      </c>
      <c r="O442" s="77">
        <f t="shared" si="441"/>
        <v>0</v>
      </c>
      <c r="P442" s="77">
        <f t="shared" si="442"/>
        <v>0</v>
      </c>
      <c r="Q442" s="76">
        <f t="shared" si="443"/>
        <v>0</v>
      </c>
      <c r="R442" s="76">
        <f t="shared" si="444"/>
        <v>0</v>
      </c>
      <c r="S442" s="57">
        <f t="shared" si="445"/>
        <v>0</v>
      </c>
    </row>
    <row r="443" spans="1:19" x14ac:dyDescent="0.4">
      <c r="A443" s="57"/>
      <c r="B443" s="57" t="str">
        <f t="shared" si="446"/>
        <v>BAN2018</v>
      </c>
      <c r="C443" s="57"/>
      <c r="D443" s="57"/>
      <c r="E443" s="57"/>
      <c r="F443" s="71">
        <f t="shared" si="447"/>
        <v>214</v>
      </c>
      <c r="G443" s="72">
        <f t="shared" si="448"/>
        <v>0</v>
      </c>
      <c r="H443" s="57">
        <f t="shared" si="435"/>
        <v>0</v>
      </c>
      <c r="I443" s="73">
        <f t="shared" si="436"/>
        <v>0</v>
      </c>
      <c r="J443" s="74">
        <v>22</v>
      </c>
      <c r="K443" s="57">
        <f t="shared" si="437"/>
        <v>0</v>
      </c>
      <c r="L443" s="75">
        <f t="shared" si="438"/>
        <v>0</v>
      </c>
      <c r="M443" s="76">
        <f t="shared" si="439"/>
        <v>0</v>
      </c>
      <c r="N443" s="76">
        <f t="shared" si="440"/>
        <v>0</v>
      </c>
      <c r="O443" s="77">
        <f t="shared" si="441"/>
        <v>0</v>
      </c>
      <c r="P443" s="77">
        <f t="shared" si="442"/>
        <v>0</v>
      </c>
      <c r="Q443" s="76">
        <f t="shared" si="443"/>
        <v>0</v>
      </c>
      <c r="R443" s="76">
        <f t="shared" si="444"/>
        <v>0</v>
      </c>
      <c r="S443" s="57">
        <f t="shared" si="445"/>
        <v>0</v>
      </c>
    </row>
    <row r="444" spans="1:19" x14ac:dyDescent="0.4">
      <c r="A444" s="57"/>
      <c r="B444" s="57" t="str">
        <f t="shared" si="446"/>
        <v>BAN2018</v>
      </c>
      <c r="C444" s="57"/>
      <c r="D444" s="79"/>
      <c r="E444" s="57"/>
      <c r="F444" s="71">
        <f t="shared" si="447"/>
        <v>245</v>
      </c>
      <c r="G444" s="72">
        <f t="shared" si="448"/>
        <v>0</v>
      </c>
      <c r="H444" s="57">
        <f t="shared" si="435"/>
        <v>0</v>
      </c>
      <c r="I444" s="73">
        <f t="shared" si="436"/>
        <v>0</v>
      </c>
      <c r="J444" s="74">
        <v>22</v>
      </c>
      <c r="K444" s="57">
        <f t="shared" si="437"/>
        <v>0</v>
      </c>
      <c r="L444" s="75">
        <f t="shared" si="438"/>
        <v>0</v>
      </c>
      <c r="M444" s="76">
        <f t="shared" si="439"/>
        <v>0</v>
      </c>
      <c r="N444" s="76">
        <f t="shared" si="440"/>
        <v>0</v>
      </c>
      <c r="O444" s="77">
        <f t="shared" si="441"/>
        <v>0</v>
      </c>
      <c r="P444" s="77">
        <f t="shared" si="442"/>
        <v>0</v>
      </c>
      <c r="Q444" s="76">
        <f t="shared" si="443"/>
        <v>0</v>
      </c>
      <c r="R444" s="76">
        <f t="shared" si="444"/>
        <v>0</v>
      </c>
      <c r="S444" s="57">
        <f t="shared" si="445"/>
        <v>0</v>
      </c>
    </row>
    <row r="445" spans="1:19" x14ac:dyDescent="0.4">
      <c r="A445" s="57"/>
      <c r="B445" s="57" t="str">
        <f t="shared" si="446"/>
        <v>BAN2018</v>
      </c>
      <c r="C445" s="57"/>
      <c r="D445" s="79"/>
      <c r="E445" s="57"/>
      <c r="F445" s="71">
        <f t="shared" si="447"/>
        <v>275</v>
      </c>
      <c r="G445" s="72">
        <f t="shared" si="448"/>
        <v>0</v>
      </c>
      <c r="H445" s="57">
        <f t="shared" si="435"/>
        <v>0</v>
      </c>
      <c r="I445" s="73">
        <f t="shared" si="436"/>
        <v>0</v>
      </c>
      <c r="J445" s="74">
        <v>22</v>
      </c>
      <c r="K445" s="57">
        <f t="shared" si="437"/>
        <v>0</v>
      </c>
      <c r="L445" s="75">
        <f t="shared" si="438"/>
        <v>0</v>
      </c>
      <c r="M445" s="76">
        <f t="shared" si="439"/>
        <v>0</v>
      </c>
      <c r="N445" s="76">
        <f t="shared" si="440"/>
        <v>0</v>
      </c>
      <c r="O445" s="77">
        <f t="shared" si="441"/>
        <v>0</v>
      </c>
      <c r="P445" s="77">
        <f t="shared" si="442"/>
        <v>0</v>
      </c>
      <c r="Q445" s="76">
        <f t="shared" si="443"/>
        <v>0</v>
      </c>
      <c r="R445" s="76">
        <f t="shared" si="444"/>
        <v>0</v>
      </c>
      <c r="S445" s="57">
        <f t="shared" si="445"/>
        <v>0</v>
      </c>
    </row>
    <row r="446" spans="1:19" x14ac:dyDescent="0.4">
      <c r="A446" s="57"/>
      <c r="B446" s="57" t="str">
        <f t="shared" si="446"/>
        <v>BAN2018</v>
      </c>
      <c r="C446" s="57"/>
      <c r="D446" s="57"/>
      <c r="E446" s="57"/>
      <c r="F446" s="71">
        <f t="shared" si="447"/>
        <v>306</v>
      </c>
      <c r="G446" s="72">
        <f t="shared" si="448"/>
        <v>0</v>
      </c>
      <c r="H446" s="57">
        <f t="shared" si="435"/>
        <v>0</v>
      </c>
      <c r="I446" s="73">
        <f t="shared" si="436"/>
        <v>0</v>
      </c>
      <c r="J446" s="74">
        <v>22</v>
      </c>
      <c r="K446" s="57">
        <f t="shared" si="437"/>
        <v>0</v>
      </c>
      <c r="L446" s="75">
        <f t="shared" si="438"/>
        <v>0</v>
      </c>
      <c r="M446" s="76">
        <f t="shared" si="439"/>
        <v>0</v>
      </c>
      <c r="N446" s="76">
        <f t="shared" si="440"/>
        <v>0</v>
      </c>
      <c r="O446" s="77">
        <f t="shared" si="441"/>
        <v>0</v>
      </c>
      <c r="P446" s="77">
        <f t="shared" si="442"/>
        <v>0</v>
      </c>
      <c r="Q446" s="76">
        <f t="shared" si="443"/>
        <v>0</v>
      </c>
      <c r="R446" s="76">
        <f t="shared" si="444"/>
        <v>0</v>
      </c>
      <c r="S446" s="57">
        <f t="shared" si="445"/>
        <v>0</v>
      </c>
    </row>
    <row r="447" spans="1:19" x14ac:dyDescent="0.4">
      <c r="A447" s="57"/>
      <c r="B447" s="57" t="str">
        <f t="shared" si="446"/>
        <v>BAN2018</v>
      </c>
      <c r="C447" s="57"/>
      <c r="D447" s="57"/>
      <c r="E447" s="57"/>
      <c r="F447" s="71">
        <f t="shared" si="447"/>
        <v>336</v>
      </c>
      <c r="G447" s="72">
        <f t="shared" si="448"/>
        <v>0</v>
      </c>
      <c r="H447" s="57">
        <f t="shared" si="435"/>
        <v>0</v>
      </c>
      <c r="I447" s="73">
        <f t="shared" si="436"/>
        <v>0</v>
      </c>
      <c r="J447" s="74">
        <v>22</v>
      </c>
      <c r="K447" s="57">
        <f t="shared" si="437"/>
        <v>0</v>
      </c>
      <c r="L447" s="75">
        <f t="shared" si="438"/>
        <v>0</v>
      </c>
      <c r="M447" s="76">
        <f t="shared" si="439"/>
        <v>0</v>
      </c>
      <c r="N447" s="76">
        <f t="shared" si="440"/>
        <v>0</v>
      </c>
      <c r="O447" s="77">
        <f t="shared" si="441"/>
        <v>0</v>
      </c>
      <c r="P447" s="77">
        <f t="shared" si="442"/>
        <v>0</v>
      </c>
      <c r="Q447" s="76">
        <f t="shared" si="443"/>
        <v>0</v>
      </c>
      <c r="R447" s="76">
        <f t="shared" si="444"/>
        <v>0</v>
      </c>
      <c r="S447" s="57">
        <f t="shared" si="445"/>
        <v>0</v>
      </c>
    </row>
    <row r="448" spans="1:19" x14ac:dyDescent="0.4">
      <c r="A448" s="57"/>
      <c r="B448" s="57" t="str">
        <f t="shared" si="446"/>
        <v>BAN2018</v>
      </c>
      <c r="C448" s="57"/>
      <c r="D448" s="57"/>
      <c r="E448" s="57"/>
      <c r="F448" s="71">
        <f t="shared" si="447"/>
        <v>367</v>
      </c>
      <c r="G448" s="72">
        <f t="shared" si="448"/>
        <v>0</v>
      </c>
      <c r="H448" s="57">
        <f t="shared" si="435"/>
        <v>0</v>
      </c>
      <c r="I448" s="73">
        <f t="shared" si="436"/>
        <v>0</v>
      </c>
      <c r="J448" s="74">
        <v>22</v>
      </c>
      <c r="K448" s="57">
        <f t="shared" si="437"/>
        <v>0</v>
      </c>
      <c r="L448" s="75">
        <f t="shared" si="438"/>
        <v>0</v>
      </c>
      <c r="M448" s="76">
        <f t="shared" si="439"/>
        <v>0</v>
      </c>
      <c r="N448" s="76">
        <f t="shared" si="440"/>
        <v>0</v>
      </c>
      <c r="O448" s="77">
        <f t="shared" si="441"/>
        <v>0</v>
      </c>
      <c r="P448" s="77">
        <f t="shared" si="442"/>
        <v>0</v>
      </c>
      <c r="Q448" s="76">
        <f t="shared" si="443"/>
        <v>0</v>
      </c>
      <c r="R448" s="76">
        <f t="shared" si="444"/>
        <v>0</v>
      </c>
      <c r="S448" s="57">
        <f t="shared" si="445"/>
        <v>0</v>
      </c>
    </row>
    <row r="449" spans="1:19" x14ac:dyDescent="0.4">
      <c r="B449" s="57"/>
    </row>
    <row r="450" spans="1:19" ht="123" customHeight="1" x14ac:dyDescent="0.4">
      <c r="A450" s="69" t="s">
        <v>11</v>
      </c>
      <c r="B450" s="69" t="s">
        <v>11</v>
      </c>
      <c r="C450" s="69" t="s">
        <v>155</v>
      </c>
      <c r="D450" s="69" t="s">
        <v>158</v>
      </c>
      <c r="E450" s="69" t="s">
        <v>185</v>
      </c>
      <c r="F450" s="69" t="s">
        <v>186</v>
      </c>
      <c r="G450" s="70" t="s">
        <v>156</v>
      </c>
      <c r="H450" s="69" t="s">
        <v>187</v>
      </c>
      <c r="I450" s="69" t="s">
        <v>188</v>
      </c>
      <c r="J450" s="69" t="s">
        <v>158</v>
      </c>
      <c r="K450" s="69" t="s">
        <v>159</v>
      </c>
      <c r="L450" s="69" t="s">
        <v>160</v>
      </c>
      <c r="M450" s="69" t="s">
        <v>161</v>
      </c>
      <c r="N450" s="69" t="s">
        <v>162</v>
      </c>
      <c r="O450" s="69" t="s">
        <v>163</v>
      </c>
      <c r="P450" s="69" t="s">
        <v>164</v>
      </c>
      <c r="Q450" s="69" t="s">
        <v>165</v>
      </c>
      <c r="R450" s="69" t="s">
        <v>166</v>
      </c>
      <c r="S450" s="69" t="s">
        <v>189</v>
      </c>
    </row>
    <row r="451" spans="1:19" x14ac:dyDescent="0.4">
      <c r="A451" s="57">
        <f>+A437+1</f>
        <v>33</v>
      </c>
      <c r="B451" s="57" t="str">
        <f>INDEX('sale resgister'!B:B,A451+1,1)</f>
        <v>BRAC99562</v>
      </c>
      <c r="C451" s="71">
        <f>+VLOOKUP(B451,'sale resgister'!B:J,9,0)</f>
        <v>46049</v>
      </c>
      <c r="D451" s="79" t="str">
        <f>+VLOOKUP(B451,'sale resgister'!B:J,2,0)</f>
        <v>Batch 3</v>
      </c>
      <c r="E451" s="96">
        <f>IF(C451=0,0,VLOOKUP(B451,'sale resgister'!B:J,4,0))</f>
        <v>30.626999999999999</v>
      </c>
      <c r="F451" s="71">
        <f>DATE(YEAR(C451),MONTH(C451)+1,1)</f>
        <v>46054</v>
      </c>
      <c r="G451" s="72">
        <f>E451</f>
        <v>30.626999999999999</v>
      </c>
      <c r="H451" s="57">
        <f t="shared" ref="H451:H462" si="449">ROUND(+G451*$H$1,3)</f>
        <v>2.1440000000000001</v>
      </c>
      <c r="I451" s="73">
        <f t="shared" ref="I451:I462" si="450">IFERROR(+VLOOKUP(F451,$W$3:$X$15,2,0),0)</f>
        <v>15760</v>
      </c>
      <c r="J451" s="74">
        <v>22</v>
      </c>
      <c r="K451" s="57">
        <f t="shared" ref="K451:K462" si="451">ROUND(+H451*97%,3)</f>
        <v>2.08</v>
      </c>
      <c r="L451" s="75">
        <f t="shared" ref="L451:L462" si="452">(K451-H451*92%)*I451</f>
        <v>1694.5151999999975</v>
      </c>
      <c r="M451" s="76">
        <f t="shared" ref="M451:M462" si="453">ROUND(I451*92%*H451,2)</f>
        <v>31086.28</v>
      </c>
      <c r="N451" s="76">
        <f t="shared" ref="N451:N462" si="454">ROUND(+M451*0.11,2)</f>
        <v>3419.49</v>
      </c>
      <c r="O451" s="77">
        <f t="shared" ref="O451:O462" si="455">+N451-L451</f>
        <v>1724.9748000000022</v>
      </c>
      <c r="P451" s="77">
        <f t="shared" ref="P451:P462" si="456">ROUND(+O451*15%,2)</f>
        <v>258.75</v>
      </c>
      <c r="Q451" s="76">
        <f t="shared" ref="Q451:Q462" si="457">ROUND(+(O451-P451)*60%,2)</f>
        <v>879.73</v>
      </c>
      <c r="R451" s="76">
        <f t="shared" ref="R451:R462" si="458">ROUND(+(O451-P451)*40%,2)</f>
        <v>586.49</v>
      </c>
      <c r="S451" s="57">
        <f t="shared" ref="S451:S462" si="459">IFERROR(ROUND(+Q451/(I451/92%),3),0)</f>
        <v>5.0999999999999997E-2</v>
      </c>
    </row>
    <row r="452" spans="1:19" x14ac:dyDescent="0.4">
      <c r="A452" s="57"/>
      <c r="B452" s="57" t="str">
        <f t="shared" ref="B452:B462" si="460">+B451</f>
        <v>BRAC99562</v>
      </c>
      <c r="C452" s="57"/>
      <c r="D452" s="57"/>
      <c r="E452" s="57"/>
      <c r="F452" s="71">
        <f t="shared" ref="F452:F462" si="461">IF(+DATE(YEAR(F451),MONTH(F451)+1,1)&gt;$G$1+1,0,+DATE(YEAR(F451),MONTH(F451)+1,1))</f>
        <v>46082</v>
      </c>
      <c r="G452" s="72">
        <f t="shared" ref="G452:G462" si="462">ROUND(IF(F452=0,0,(G451+S451)),3)</f>
        <v>30.678000000000001</v>
      </c>
      <c r="H452" s="57">
        <f t="shared" si="449"/>
        <v>2.1469999999999998</v>
      </c>
      <c r="I452" s="73">
        <f t="shared" si="450"/>
        <v>17200</v>
      </c>
      <c r="J452" s="74">
        <v>22</v>
      </c>
      <c r="K452" s="57">
        <f t="shared" si="451"/>
        <v>2.0830000000000002</v>
      </c>
      <c r="L452" s="75">
        <f t="shared" si="452"/>
        <v>1853.4720000000052</v>
      </c>
      <c r="M452" s="76">
        <f t="shared" si="453"/>
        <v>33974.129999999997</v>
      </c>
      <c r="N452" s="76">
        <f t="shared" si="454"/>
        <v>3737.15</v>
      </c>
      <c r="O452" s="77">
        <f t="shared" si="455"/>
        <v>1883.6779999999949</v>
      </c>
      <c r="P452" s="77">
        <f t="shared" si="456"/>
        <v>282.55</v>
      </c>
      <c r="Q452" s="76">
        <f t="shared" si="457"/>
        <v>960.68</v>
      </c>
      <c r="R452" s="76">
        <f t="shared" si="458"/>
        <v>640.45000000000005</v>
      </c>
      <c r="S452" s="57">
        <f t="shared" si="459"/>
        <v>5.0999999999999997E-2</v>
      </c>
    </row>
    <row r="453" spans="1:19" x14ac:dyDescent="0.4">
      <c r="A453" s="57"/>
      <c r="B453" s="57" t="str">
        <f t="shared" si="460"/>
        <v>BRAC99562</v>
      </c>
      <c r="C453" s="57"/>
      <c r="D453" s="57"/>
      <c r="E453" s="71"/>
      <c r="F453" s="71">
        <f t="shared" si="461"/>
        <v>46113</v>
      </c>
      <c r="G453" s="72">
        <f t="shared" si="462"/>
        <v>30.728999999999999</v>
      </c>
      <c r="H453" s="57">
        <f t="shared" si="449"/>
        <v>2.1509999999999998</v>
      </c>
      <c r="I453" s="73">
        <f t="shared" si="450"/>
        <v>15450</v>
      </c>
      <c r="J453" s="74">
        <v>22</v>
      </c>
      <c r="K453" s="57">
        <f t="shared" si="451"/>
        <v>2.0859999999999999</v>
      </c>
      <c r="L453" s="75">
        <f t="shared" si="452"/>
        <v>1654.3859999999975</v>
      </c>
      <c r="M453" s="76">
        <f t="shared" si="453"/>
        <v>30574.31</v>
      </c>
      <c r="N453" s="76">
        <f t="shared" si="454"/>
        <v>3363.17</v>
      </c>
      <c r="O453" s="77">
        <f t="shared" si="455"/>
        <v>1708.7840000000026</v>
      </c>
      <c r="P453" s="77">
        <f t="shared" si="456"/>
        <v>256.32</v>
      </c>
      <c r="Q453" s="76">
        <f t="shared" si="457"/>
        <v>871.48</v>
      </c>
      <c r="R453" s="76">
        <f t="shared" si="458"/>
        <v>580.99</v>
      </c>
      <c r="S453" s="57">
        <f t="shared" si="459"/>
        <v>5.1999999999999998E-2</v>
      </c>
    </row>
    <row r="454" spans="1:19" x14ac:dyDescent="0.4">
      <c r="A454" s="57"/>
      <c r="B454" s="57" t="str">
        <f t="shared" si="460"/>
        <v>BRAC99562</v>
      </c>
      <c r="C454" s="57"/>
      <c r="D454" s="57"/>
      <c r="E454" s="57"/>
      <c r="F454" s="71">
        <f t="shared" si="461"/>
        <v>0</v>
      </c>
      <c r="G454" s="72">
        <f t="shared" si="462"/>
        <v>0</v>
      </c>
      <c r="H454" s="57">
        <f t="shared" si="449"/>
        <v>0</v>
      </c>
      <c r="I454" s="73">
        <f t="shared" si="450"/>
        <v>0</v>
      </c>
      <c r="J454" s="74">
        <v>22</v>
      </c>
      <c r="K454" s="57">
        <f t="shared" si="451"/>
        <v>0</v>
      </c>
      <c r="L454" s="75">
        <f t="shared" si="452"/>
        <v>0</v>
      </c>
      <c r="M454" s="76">
        <f t="shared" si="453"/>
        <v>0</v>
      </c>
      <c r="N454" s="76">
        <f t="shared" si="454"/>
        <v>0</v>
      </c>
      <c r="O454" s="77">
        <f t="shared" si="455"/>
        <v>0</v>
      </c>
      <c r="P454" s="77">
        <f t="shared" si="456"/>
        <v>0</v>
      </c>
      <c r="Q454" s="76">
        <f t="shared" si="457"/>
        <v>0</v>
      </c>
      <c r="R454" s="76">
        <f t="shared" si="458"/>
        <v>0</v>
      </c>
      <c r="S454" s="57">
        <f t="shared" si="459"/>
        <v>0</v>
      </c>
    </row>
    <row r="455" spans="1:19" x14ac:dyDescent="0.4">
      <c r="A455" s="57"/>
      <c r="B455" s="57" t="str">
        <f t="shared" si="460"/>
        <v>BRAC99562</v>
      </c>
      <c r="C455" s="71"/>
      <c r="D455" s="57"/>
      <c r="E455" s="57"/>
      <c r="F455" s="71">
        <f t="shared" si="461"/>
        <v>32</v>
      </c>
      <c r="G455" s="72">
        <f t="shared" si="462"/>
        <v>0</v>
      </c>
      <c r="H455" s="57">
        <f t="shared" si="449"/>
        <v>0</v>
      </c>
      <c r="I455" s="73">
        <f t="shared" si="450"/>
        <v>0</v>
      </c>
      <c r="J455" s="74">
        <v>22</v>
      </c>
      <c r="K455" s="57">
        <f t="shared" si="451"/>
        <v>0</v>
      </c>
      <c r="L455" s="75">
        <f t="shared" si="452"/>
        <v>0</v>
      </c>
      <c r="M455" s="76">
        <f t="shared" si="453"/>
        <v>0</v>
      </c>
      <c r="N455" s="76">
        <f t="shared" si="454"/>
        <v>0</v>
      </c>
      <c r="O455" s="77">
        <f t="shared" si="455"/>
        <v>0</v>
      </c>
      <c r="P455" s="77">
        <f t="shared" si="456"/>
        <v>0</v>
      </c>
      <c r="Q455" s="76">
        <f t="shared" si="457"/>
        <v>0</v>
      </c>
      <c r="R455" s="76">
        <f t="shared" si="458"/>
        <v>0</v>
      </c>
      <c r="S455" s="57">
        <f t="shared" si="459"/>
        <v>0</v>
      </c>
    </row>
    <row r="456" spans="1:19" x14ac:dyDescent="0.4">
      <c r="A456" s="57"/>
      <c r="B456" s="57" t="str">
        <f t="shared" si="460"/>
        <v>BRAC99562</v>
      </c>
      <c r="C456" s="57"/>
      <c r="D456" s="57"/>
      <c r="E456" s="57"/>
      <c r="F456" s="71">
        <f t="shared" si="461"/>
        <v>61</v>
      </c>
      <c r="G456" s="72">
        <f t="shared" si="462"/>
        <v>0</v>
      </c>
      <c r="H456" s="57">
        <f t="shared" si="449"/>
        <v>0</v>
      </c>
      <c r="I456" s="73">
        <f t="shared" si="450"/>
        <v>0</v>
      </c>
      <c r="J456" s="74">
        <v>22</v>
      </c>
      <c r="K456" s="57">
        <f t="shared" si="451"/>
        <v>0</v>
      </c>
      <c r="L456" s="75">
        <f t="shared" si="452"/>
        <v>0</v>
      </c>
      <c r="M456" s="76">
        <f t="shared" si="453"/>
        <v>0</v>
      </c>
      <c r="N456" s="76">
        <f t="shared" si="454"/>
        <v>0</v>
      </c>
      <c r="O456" s="77">
        <f t="shared" si="455"/>
        <v>0</v>
      </c>
      <c r="P456" s="77">
        <f t="shared" si="456"/>
        <v>0</v>
      </c>
      <c r="Q456" s="76">
        <f t="shared" si="457"/>
        <v>0</v>
      </c>
      <c r="R456" s="76">
        <f t="shared" si="458"/>
        <v>0</v>
      </c>
      <c r="S456" s="57">
        <f t="shared" si="459"/>
        <v>0</v>
      </c>
    </row>
    <row r="457" spans="1:19" x14ac:dyDescent="0.4">
      <c r="A457" s="57"/>
      <c r="B457" s="57" t="str">
        <f t="shared" si="460"/>
        <v>BRAC99562</v>
      </c>
      <c r="C457" s="57"/>
      <c r="D457" s="57"/>
      <c r="E457" s="57"/>
      <c r="F457" s="71">
        <f t="shared" si="461"/>
        <v>92</v>
      </c>
      <c r="G457" s="72">
        <f t="shared" si="462"/>
        <v>0</v>
      </c>
      <c r="H457" s="57">
        <f t="shared" si="449"/>
        <v>0</v>
      </c>
      <c r="I457" s="73">
        <f t="shared" si="450"/>
        <v>0</v>
      </c>
      <c r="J457" s="74">
        <v>22</v>
      </c>
      <c r="K457" s="57">
        <f t="shared" si="451"/>
        <v>0</v>
      </c>
      <c r="L457" s="75">
        <f t="shared" si="452"/>
        <v>0</v>
      </c>
      <c r="M457" s="76">
        <f t="shared" si="453"/>
        <v>0</v>
      </c>
      <c r="N457" s="76">
        <f t="shared" si="454"/>
        <v>0</v>
      </c>
      <c r="O457" s="77">
        <f t="shared" si="455"/>
        <v>0</v>
      </c>
      <c r="P457" s="77">
        <f t="shared" si="456"/>
        <v>0</v>
      </c>
      <c r="Q457" s="76">
        <f t="shared" si="457"/>
        <v>0</v>
      </c>
      <c r="R457" s="76">
        <f t="shared" si="458"/>
        <v>0</v>
      </c>
      <c r="S457" s="57">
        <f t="shared" si="459"/>
        <v>0</v>
      </c>
    </row>
    <row r="458" spans="1:19" x14ac:dyDescent="0.4">
      <c r="A458" s="57"/>
      <c r="B458" s="57" t="str">
        <f t="shared" si="460"/>
        <v>BRAC99562</v>
      </c>
      <c r="C458" s="57"/>
      <c r="D458" s="79"/>
      <c r="E458" s="57"/>
      <c r="F458" s="71">
        <f t="shared" si="461"/>
        <v>122</v>
      </c>
      <c r="G458" s="72">
        <f t="shared" si="462"/>
        <v>0</v>
      </c>
      <c r="H458" s="57">
        <f t="shared" si="449"/>
        <v>0</v>
      </c>
      <c r="I458" s="73">
        <f t="shared" si="450"/>
        <v>0</v>
      </c>
      <c r="J458" s="74">
        <v>22</v>
      </c>
      <c r="K458" s="57">
        <f t="shared" si="451"/>
        <v>0</v>
      </c>
      <c r="L458" s="75">
        <f t="shared" si="452"/>
        <v>0</v>
      </c>
      <c r="M458" s="76">
        <f t="shared" si="453"/>
        <v>0</v>
      </c>
      <c r="N458" s="76">
        <f t="shared" si="454"/>
        <v>0</v>
      </c>
      <c r="O458" s="77">
        <f t="shared" si="455"/>
        <v>0</v>
      </c>
      <c r="P458" s="77">
        <f t="shared" si="456"/>
        <v>0</v>
      </c>
      <c r="Q458" s="76">
        <f t="shared" si="457"/>
        <v>0</v>
      </c>
      <c r="R458" s="76">
        <f t="shared" si="458"/>
        <v>0</v>
      </c>
      <c r="S458" s="57">
        <f t="shared" si="459"/>
        <v>0</v>
      </c>
    </row>
    <row r="459" spans="1:19" x14ac:dyDescent="0.4">
      <c r="A459" s="57"/>
      <c r="B459" s="57" t="str">
        <f t="shared" si="460"/>
        <v>BRAC99562</v>
      </c>
      <c r="C459" s="57"/>
      <c r="D459" s="79"/>
      <c r="E459" s="57"/>
      <c r="F459" s="71">
        <f t="shared" si="461"/>
        <v>153</v>
      </c>
      <c r="G459" s="72">
        <f t="shared" si="462"/>
        <v>0</v>
      </c>
      <c r="H459" s="57">
        <f t="shared" si="449"/>
        <v>0</v>
      </c>
      <c r="I459" s="73">
        <f t="shared" si="450"/>
        <v>0</v>
      </c>
      <c r="J459" s="74">
        <v>22</v>
      </c>
      <c r="K459" s="57">
        <f t="shared" si="451"/>
        <v>0</v>
      </c>
      <c r="L459" s="75">
        <f t="shared" si="452"/>
        <v>0</v>
      </c>
      <c r="M459" s="76">
        <f t="shared" si="453"/>
        <v>0</v>
      </c>
      <c r="N459" s="76">
        <f t="shared" si="454"/>
        <v>0</v>
      </c>
      <c r="O459" s="77">
        <f t="shared" si="455"/>
        <v>0</v>
      </c>
      <c r="P459" s="77">
        <f t="shared" si="456"/>
        <v>0</v>
      </c>
      <c r="Q459" s="76">
        <f t="shared" si="457"/>
        <v>0</v>
      </c>
      <c r="R459" s="76">
        <f t="shared" si="458"/>
        <v>0</v>
      </c>
      <c r="S459" s="57">
        <f t="shared" si="459"/>
        <v>0</v>
      </c>
    </row>
    <row r="460" spans="1:19" x14ac:dyDescent="0.4">
      <c r="A460" s="57"/>
      <c r="B460" s="57" t="str">
        <f t="shared" si="460"/>
        <v>BRAC99562</v>
      </c>
      <c r="C460" s="57"/>
      <c r="D460" s="57"/>
      <c r="E460" s="57"/>
      <c r="F460" s="71">
        <f t="shared" si="461"/>
        <v>183</v>
      </c>
      <c r="G460" s="72">
        <f t="shared" si="462"/>
        <v>0</v>
      </c>
      <c r="H460" s="57">
        <f t="shared" si="449"/>
        <v>0</v>
      </c>
      <c r="I460" s="73">
        <f t="shared" si="450"/>
        <v>0</v>
      </c>
      <c r="J460" s="74">
        <v>22</v>
      </c>
      <c r="K460" s="57">
        <f t="shared" si="451"/>
        <v>0</v>
      </c>
      <c r="L460" s="75">
        <f t="shared" si="452"/>
        <v>0</v>
      </c>
      <c r="M460" s="76">
        <f t="shared" si="453"/>
        <v>0</v>
      </c>
      <c r="N460" s="76">
        <f t="shared" si="454"/>
        <v>0</v>
      </c>
      <c r="O460" s="77">
        <f t="shared" si="455"/>
        <v>0</v>
      </c>
      <c r="P460" s="77">
        <f t="shared" si="456"/>
        <v>0</v>
      </c>
      <c r="Q460" s="76">
        <f t="shared" si="457"/>
        <v>0</v>
      </c>
      <c r="R460" s="76">
        <f t="shared" si="458"/>
        <v>0</v>
      </c>
      <c r="S460" s="57">
        <f t="shared" si="459"/>
        <v>0</v>
      </c>
    </row>
    <row r="461" spans="1:19" x14ac:dyDescent="0.4">
      <c r="A461" s="57"/>
      <c r="B461" s="57" t="str">
        <f t="shared" si="460"/>
        <v>BRAC99562</v>
      </c>
      <c r="C461" s="57"/>
      <c r="D461" s="57"/>
      <c r="E461" s="57"/>
      <c r="F461" s="71">
        <f t="shared" si="461"/>
        <v>214</v>
      </c>
      <c r="G461" s="72">
        <f t="shared" si="462"/>
        <v>0</v>
      </c>
      <c r="H461" s="57">
        <f t="shared" si="449"/>
        <v>0</v>
      </c>
      <c r="I461" s="73">
        <f t="shared" si="450"/>
        <v>0</v>
      </c>
      <c r="J461" s="74">
        <v>22</v>
      </c>
      <c r="K461" s="57">
        <f t="shared" si="451"/>
        <v>0</v>
      </c>
      <c r="L461" s="75">
        <f t="shared" si="452"/>
        <v>0</v>
      </c>
      <c r="M461" s="76">
        <f t="shared" si="453"/>
        <v>0</v>
      </c>
      <c r="N461" s="76">
        <f t="shared" si="454"/>
        <v>0</v>
      </c>
      <c r="O461" s="77">
        <f t="shared" si="455"/>
        <v>0</v>
      </c>
      <c r="P461" s="77">
        <f t="shared" si="456"/>
        <v>0</v>
      </c>
      <c r="Q461" s="76">
        <f t="shared" si="457"/>
        <v>0</v>
      </c>
      <c r="R461" s="76">
        <f t="shared" si="458"/>
        <v>0</v>
      </c>
      <c r="S461" s="57">
        <f t="shared" si="459"/>
        <v>0</v>
      </c>
    </row>
    <row r="462" spans="1:19" x14ac:dyDescent="0.4">
      <c r="A462" s="57"/>
      <c r="B462" s="57" t="str">
        <f t="shared" si="460"/>
        <v>BRAC99562</v>
      </c>
      <c r="C462" s="57"/>
      <c r="D462" s="57"/>
      <c r="E462" s="57"/>
      <c r="F462" s="71">
        <f t="shared" si="461"/>
        <v>245</v>
      </c>
      <c r="G462" s="72">
        <f t="shared" si="462"/>
        <v>0</v>
      </c>
      <c r="H462" s="57">
        <f t="shared" si="449"/>
        <v>0</v>
      </c>
      <c r="I462" s="73">
        <f t="shared" si="450"/>
        <v>0</v>
      </c>
      <c r="J462" s="74">
        <v>22</v>
      </c>
      <c r="K462" s="57">
        <f t="shared" si="451"/>
        <v>0</v>
      </c>
      <c r="L462" s="75">
        <f t="shared" si="452"/>
        <v>0</v>
      </c>
      <c r="M462" s="76">
        <f t="shared" si="453"/>
        <v>0</v>
      </c>
      <c r="N462" s="76">
        <f t="shared" si="454"/>
        <v>0</v>
      </c>
      <c r="O462" s="77">
        <f t="shared" si="455"/>
        <v>0</v>
      </c>
      <c r="P462" s="77">
        <f t="shared" si="456"/>
        <v>0</v>
      </c>
      <c r="Q462" s="76">
        <f t="shared" si="457"/>
        <v>0</v>
      </c>
      <c r="R462" s="76">
        <f t="shared" si="458"/>
        <v>0</v>
      </c>
      <c r="S462" s="57">
        <f t="shared" si="459"/>
        <v>0</v>
      </c>
    </row>
    <row r="463" spans="1:19" x14ac:dyDescent="0.4">
      <c r="B463" s="57"/>
    </row>
    <row r="464" spans="1:19" ht="123" customHeight="1" x14ac:dyDescent="0.4">
      <c r="A464" s="69" t="s">
        <v>11</v>
      </c>
      <c r="B464" s="69" t="s">
        <v>11</v>
      </c>
      <c r="C464" s="69" t="s">
        <v>155</v>
      </c>
      <c r="D464" s="69" t="s">
        <v>158</v>
      </c>
      <c r="E464" s="69" t="s">
        <v>185</v>
      </c>
      <c r="F464" s="69" t="s">
        <v>186</v>
      </c>
      <c r="G464" s="70" t="s">
        <v>156</v>
      </c>
      <c r="H464" s="69" t="s">
        <v>187</v>
      </c>
      <c r="I464" s="69" t="s">
        <v>188</v>
      </c>
      <c r="J464" s="69" t="s">
        <v>158</v>
      </c>
      <c r="K464" s="69" t="s">
        <v>159</v>
      </c>
      <c r="L464" s="69" t="s">
        <v>160</v>
      </c>
      <c r="M464" s="69" t="s">
        <v>161</v>
      </c>
      <c r="N464" s="69" t="s">
        <v>162</v>
      </c>
      <c r="O464" s="69" t="s">
        <v>163</v>
      </c>
      <c r="P464" s="69" t="s">
        <v>164</v>
      </c>
      <c r="Q464" s="69" t="s">
        <v>165</v>
      </c>
      <c r="R464" s="69" t="s">
        <v>166</v>
      </c>
      <c r="S464" s="69" t="s">
        <v>189</v>
      </c>
    </row>
    <row r="465" spans="1:19" x14ac:dyDescent="0.4">
      <c r="A465" s="57">
        <f>+A451+1</f>
        <v>34</v>
      </c>
      <c r="B465" s="57" t="str">
        <f>INDEX('sale resgister'!B:B,A465+1,1)</f>
        <v>BALI100437</v>
      </c>
      <c r="C465" s="71">
        <f>+VLOOKUP(B465,'sale resgister'!B:J,9,0)</f>
        <v>0</v>
      </c>
      <c r="D465" s="79" t="str">
        <f>+VLOOKUP(B465,'sale resgister'!B:J,2,0)</f>
        <v>Batch 3</v>
      </c>
      <c r="E465" s="96">
        <f>IF(C465=0,0,VLOOKUP(B465,'sale resgister'!B:J,4,0))</f>
        <v>0</v>
      </c>
      <c r="F465" s="71">
        <f>DATE(YEAR(C465),MONTH(C465)+1,1)</f>
        <v>32</v>
      </c>
      <c r="G465" s="72">
        <f>E465</f>
        <v>0</v>
      </c>
      <c r="H465" s="57">
        <f t="shared" ref="H465:H476" si="463">ROUND(+G465*$H$1,3)</f>
        <v>0</v>
      </c>
      <c r="I465" s="73">
        <f t="shared" ref="I465:I476" si="464">IFERROR(+VLOOKUP(F465,$W$3:$X$15,2,0),0)</f>
        <v>0</v>
      </c>
      <c r="J465" s="74">
        <v>22</v>
      </c>
      <c r="K465" s="57">
        <f t="shared" ref="K465:K476" si="465">ROUND(+H465*97%,3)</f>
        <v>0</v>
      </c>
      <c r="L465" s="75">
        <f t="shared" ref="L465:L476" si="466">(K465-H465*92%)*I465</f>
        <v>0</v>
      </c>
      <c r="M465" s="76">
        <f t="shared" ref="M465:M476" si="467">ROUND(I465*92%*H465,2)</f>
        <v>0</v>
      </c>
      <c r="N465" s="76">
        <f t="shared" ref="N465:N476" si="468">ROUND(+M465*0.11,2)</f>
        <v>0</v>
      </c>
      <c r="O465" s="77">
        <f t="shared" ref="O465:O476" si="469">+N465-L465</f>
        <v>0</v>
      </c>
      <c r="P465" s="77">
        <f t="shared" ref="P465:P476" si="470">ROUND(+O465*15%,2)</f>
        <v>0</v>
      </c>
      <c r="Q465" s="76">
        <f t="shared" ref="Q465:Q476" si="471">ROUND(+(O465-P465)*60%,2)</f>
        <v>0</v>
      </c>
      <c r="R465" s="76">
        <f t="shared" ref="R465:R476" si="472">ROUND(+(O465-P465)*40%,2)</f>
        <v>0</v>
      </c>
      <c r="S465" s="57">
        <f t="shared" ref="S465:S476" si="473">IFERROR(ROUND(+Q465/(I465/92%),3),0)</f>
        <v>0</v>
      </c>
    </row>
    <row r="466" spans="1:19" x14ac:dyDescent="0.4">
      <c r="A466" s="57"/>
      <c r="B466" s="57" t="str">
        <f t="shared" ref="B466:B476" si="474">+B465</f>
        <v>BALI100437</v>
      </c>
      <c r="C466" s="57"/>
      <c r="D466" s="57"/>
      <c r="E466" s="57"/>
      <c r="F466" s="71">
        <f t="shared" ref="F466:F476" si="475">IF(+DATE(YEAR(F465),MONTH(F465)+1,1)&gt;$G$1+1,0,+DATE(YEAR(F465),MONTH(F465)+1,1))</f>
        <v>61</v>
      </c>
      <c r="G466" s="72">
        <f t="shared" ref="G466:G476" si="476">ROUND(IF(F466=0,0,(G465+S465)),3)</f>
        <v>0</v>
      </c>
      <c r="H466" s="57">
        <f t="shared" si="463"/>
        <v>0</v>
      </c>
      <c r="I466" s="73">
        <f t="shared" si="464"/>
        <v>0</v>
      </c>
      <c r="J466" s="74">
        <v>22</v>
      </c>
      <c r="K466" s="57">
        <f t="shared" si="465"/>
        <v>0</v>
      </c>
      <c r="L466" s="75">
        <f t="shared" si="466"/>
        <v>0</v>
      </c>
      <c r="M466" s="76">
        <f t="shared" si="467"/>
        <v>0</v>
      </c>
      <c r="N466" s="76">
        <f t="shared" si="468"/>
        <v>0</v>
      </c>
      <c r="O466" s="77">
        <f t="shared" si="469"/>
        <v>0</v>
      </c>
      <c r="P466" s="77">
        <f t="shared" si="470"/>
        <v>0</v>
      </c>
      <c r="Q466" s="76">
        <f t="shared" si="471"/>
        <v>0</v>
      </c>
      <c r="R466" s="76">
        <f t="shared" si="472"/>
        <v>0</v>
      </c>
      <c r="S466" s="57">
        <f t="shared" si="473"/>
        <v>0</v>
      </c>
    </row>
    <row r="467" spans="1:19" x14ac:dyDescent="0.4">
      <c r="A467" s="57"/>
      <c r="B467" s="57" t="str">
        <f t="shared" si="474"/>
        <v>BALI100437</v>
      </c>
      <c r="C467" s="57"/>
      <c r="D467" s="57"/>
      <c r="E467" s="71"/>
      <c r="F467" s="71">
        <f t="shared" si="475"/>
        <v>92</v>
      </c>
      <c r="G467" s="72">
        <f t="shared" si="476"/>
        <v>0</v>
      </c>
      <c r="H467" s="57">
        <f t="shared" si="463"/>
        <v>0</v>
      </c>
      <c r="I467" s="73">
        <f t="shared" si="464"/>
        <v>0</v>
      </c>
      <c r="J467" s="74">
        <v>22</v>
      </c>
      <c r="K467" s="57">
        <f t="shared" si="465"/>
        <v>0</v>
      </c>
      <c r="L467" s="75">
        <f t="shared" si="466"/>
        <v>0</v>
      </c>
      <c r="M467" s="76">
        <f t="shared" si="467"/>
        <v>0</v>
      </c>
      <c r="N467" s="76">
        <f t="shared" si="468"/>
        <v>0</v>
      </c>
      <c r="O467" s="77">
        <f t="shared" si="469"/>
        <v>0</v>
      </c>
      <c r="P467" s="77">
        <f t="shared" si="470"/>
        <v>0</v>
      </c>
      <c r="Q467" s="76">
        <f t="shared" si="471"/>
        <v>0</v>
      </c>
      <c r="R467" s="76">
        <f t="shared" si="472"/>
        <v>0</v>
      </c>
      <c r="S467" s="57">
        <f t="shared" si="473"/>
        <v>0</v>
      </c>
    </row>
    <row r="468" spans="1:19" x14ac:dyDescent="0.4">
      <c r="A468" s="57"/>
      <c r="B468" s="57" t="str">
        <f t="shared" si="474"/>
        <v>BALI100437</v>
      </c>
      <c r="C468" s="57"/>
      <c r="D468" s="57"/>
      <c r="E468" s="57"/>
      <c r="F468" s="71">
        <f t="shared" si="475"/>
        <v>122</v>
      </c>
      <c r="G468" s="72">
        <f t="shared" si="476"/>
        <v>0</v>
      </c>
      <c r="H468" s="57">
        <f t="shared" si="463"/>
        <v>0</v>
      </c>
      <c r="I468" s="73">
        <f t="shared" si="464"/>
        <v>0</v>
      </c>
      <c r="J468" s="74">
        <v>22</v>
      </c>
      <c r="K468" s="57">
        <f t="shared" si="465"/>
        <v>0</v>
      </c>
      <c r="L468" s="75">
        <f t="shared" si="466"/>
        <v>0</v>
      </c>
      <c r="M468" s="76">
        <f t="shared" si="467"/>
        <v>0</v>
      </c>
      <c r="N468" s="76">
        <f t="shared" si="468"/>
        <v>0</v>
      </c>
      <c r="O468" s="77">
        <f t="shared" si="469"/>
        <v>0</v>
      </c>
      <c r="P468" s="77">
        <f t="shared" si="470"/>
        <v>0</v>
      </c>
      <c r="Q468" s="76">
        <f t="shared" si="471"/>
        <v>0</v>
      </c>
      <c r="R468" s="76">
        <f t="shared" si="472"/>
        <v>0</v>
      </c>
      <c r="S468" s="57">
        <f t="shared" si="473"/>
        <v>0</v>
      </c>
    </row>
    <row r="469" spans="1:19" x14ac:dyDescent="0.4">
      <c r="A469" s="57"/>
      <c r="B469" s="57" t="str">
        <f t="shared" si="474"/>
        <v>BALI100437</v>
      </c>
      <c r="C469" s="71"/>
      <c r="D469" s="57"/>
      <c r="E469" s="57"/>
      <c r="F469" s="71">
        <f t="shared" si="475"/>
        <v>153</v>
      </c>
      <c r="G469" s="72">
        <f t="shared" si="476"/>
        <v>0</v>
      </c>
      <c r="H469" s="57">
        <f t="shared" si="463"/>
        <v>0</v>
      </c>
      <c r="I469" s="73">
        <f t="shared" si="464"/>
        <v>0</v>
      </c>
      <c r="J469" s="74">
        <v>22</v>
      </c>
      <c r="K469" s="57">
        <f t="shared" si="465"/>
        <v>0</v>
      </c>
      <c r="L469" s="75">
        <f t="shared" si="466"/>
        <v>0</v>
      </c>
      <c r="M469" s="76">
        <f t="shared" si="467"/>
        <v>0</v>
      </c>
      <c r="N469" s="76">
        <f t="shared" si="468"/>
        <v>0</v>
      </c>
      <c r="O469" s="77">
        <f t="shared" si="469"/>
        <v>0</v>
      </c>
      <c r="P469" s="77">
        <f t="shared" si="470"/>
        <v>0</v>
      </c>
      <c r="Q469" s="76">
        <f t="shared" si="471"/>
        <v>0</v>
      </c>
      <c r="R469" s="76">
        <f t="shared" si="472"/>
        <v>0</v>
      </c>
      <c r="S469" s="57">
        <f t="shared" si="473"/>
        <v>0</v>
      </c>
    </row>
    <row r="470" spans="1:19" x14ac:dyDescent="0.4">
      <c r="A470" s="57"/>
      <c r="B470" s="57" t="str">
        <f t="shared" si="474"/>
        <v>BALI100437</v>
      </c>
      <c r="C470" s="57"/>
      <c r="D470" s="57"/>
      <c r="E470" s="57"/>
      <c r="F470" s="71">
        <f t="shared" si="475"/>
        <v>183</v>
      </c>
      <c r="G470" s="72">
        <f t="shared" si="476"/>
        <v>0</v>
      </c>
      <c r="H470" s="57">
        <f t="shared" si="463"/>
        <v>0</v>
      </c>
      <c r="I470" s="73">
        <f t="shared" si="464"/>
        <v>0</v>
      </c>
      <c r="J470" s="74">
        <v>22</v>
      </c>
      <c r="K470" s="57">
        <f t="shared" si="465"/>
        <v>0</v>
      </c>
      <c r="L470" s="75">
        <f t="shared" si="466"/>
        <v>0</v>
      </c>
      <c r="M470" s="76">
        <f t="shared" si="467"/>
        <v>0</v>
      </c>
      <c r="N470" s="76">
        <f t="shared" si="468"/>
        <v>0</v>
      </c>
      <c r="O470" s="77">
        <f t="shared" si="469"/>
        <v>0</v>
      </c>
      <c r="P470" s="77">
        <f t="shared" si="470"/>
        <v>0</v>
      </c>
      <c r="Q470" s="76">
        <f t="shared" si="471"/>
        <v>0</v>
      </c>
      <c r="R470" s="76">
        <f t="shared" si="472"/>
        <v>0</v>
      </c>
      <c r="S470" s="57">
        <f t="shared" si="473"/>
        <v>0</v>
      </c>
    </row>
    <row r="471" spans="1:19" x14ac:dyDescent="0.4">
      <c r="A471" s="57"/>
      <c r="B471" s="57" t="str">
        <f t="shared" si="474"/>
        <v>BALI100437</v>
      </c>
      <c r="C471" s="57"/>
      <c r="D471" s="57"/>
      <c r="E471" s="57"/>
      <c r="F471" s="71">
        <f t="shared" si="475"/>
        <v>214</v>
      </c>
      <c r="G471" s="72">
        <f t="shared" si="476"/>
        <v>0</v>
      </c>
      <c r="H471" s="57">
        <f t="shared" si="463"/>
        <v>0</v>
      </c>
      <c r="I471" s="73">
        <f t="shared" si="464"/>
        <v>0</v>
      </c>
      <c r="J471" s="74">
        <v>22</v>
      </c>
      <c r="K471" s="57">
        <f t="shared" si="465"/>
        <v>0</v>
      </c>
      <c r="L471" s="75">
        <f t="shared" si="466"/>
        <v>0</v>
      </c>
      <c r="M471" s="76">
        <f t="shared" si="467"/>
        <v>0</v>
      </c>
      <c r="N471" s="76">
        <f t="shared" si="468"/>
        <v>0</v>
      </c>
      <c r="O471" s="77">
        <f t="shared" si="469"/>
        <v>0</v>
      </c>
      <c r="P471" s="77">
        <f t="shared" si="470"/>
        <v>0</v>
      </c>
      <c r="Q471" s="76">
        <f t="shared" si="471"/>
        <v>0</v>
      </c>
      <c r="R471" s="76">
        <f t="shared" si="472"/>
        <v>0</v>
      </c>
      <c r="S471" s="57">
        <f t="shared" si="473"/>
        <v>0</v>
      </c>
    </row>
    <row r="472" spans="1:19" x14ac:dyDescent="0.4">
      <c r="A472" s="57"/>
      <c r="B472" s="57" t="str">
        <f t="shared" si="474"/>
        <v>BALI100437</v>
      </c>
      <c r="C472" s="57"/>
      <c r="D472" s="79"/>
      <c r="E472" s="57"/>
      <c r="F472" s="71">
        <f t="shared" si="475"/>
        <v>245</v>
      </c>
      <c r="G472" s="72">
        <f t="shared" si="476"/>
        <v>0</v>
      </c>
      <c r="H472" s="57">
        <f t="shared" si="463"/>
        <v>0</v>
      </c>
      <c r="I472" s="73">
        <f t="shared" si="464"/>
        <v>0</v>
      </c>
      <c r="J472" s="74">
        <v>22</v>
      </c>
      <c r="K472" s="57">
        <f t="shared" si="465"/>
        <v>0</v>
      </c>
      <c r="L472" s="75">
        <f t="shared" si="466"/>
        <v>0</v>
      </c>
      <c r="M472" s="76">
        <f t="shared" si="467"/>
        <v>0</v>
      </c>
      <c r="N472" s="76">
        <f t="shared" si="468"/>
        <v>0</v>
      </c>
      <c r="O472" s="77">
        <f t="shared" si="469"/>
        <v>0</v>
      </c>
      <c r="P472" s="77">
        <f t="shared" si="470"/>
        <v>0</v>
      </c>
      <c r="Q472" s="76">
        <f t="shared" si="471"/>
        <v>0</v>
      </c>
      <c r="R472" s="76">
        <f t="shared" si="472"/>
        <v>0</v>
      </c>
      <c r="S472" s="57">
        <f t="shared" si="473"/>
        <v>0</v>
      </c>
    </row>
    <row r="473" spans="1:19" x14ac:dyDescent="0.4">
      <c r="A473" s="57"/>
      <c r="B473" s="57" t="str">
        <f t="shared" si="474"/>
        <v>BALI100437</v>
      </c>
      <c r="C473" s="57"/>
      <c r="D473" s="79"/>
      <c r="E473" s="57"/>
      <c r="F473" s="71">
        <f t="shared" si="475"/>
        <v>275</v>
      </c>
      <c r="G473" s="72">
        <f t="shared" si="476"/>
        <v>0</v>
      </c>
      <c r="H473" s="57">
        <f t="shared" si="463"/>
        <v>0</v>
      </c>
      <c r="I473" s="73">
        <f t="shared" si="464"/>
        <v>0</v>
      </c>
      <c r="J473" s="74">
        <v>22</v>
      </c>
      <c r="K473" s="57">
        <f t="shared" si="465"/>
        <v>0</v>
      </c>
      <c r="L473" s="75">
        <f t="shared" si="466"/>
        <v>0</v>
      </c>
      <c r="M473" s="76">
        <f t="shared" si="467"/>
        <v>0</v>
      </c>
      <c r="N473" s="76">
        <f t="shared" si="468"/>
        <v>0</v>
      </c>
      <c r="O473" s="77">
        <f t="shared" si="469"/>
        <v>0</v>
      </c>
      <c r="P473" s="77">
        <f t="shared" si="470"/>
        <v>0</v>
      </c>
      <c r="Q473" s="76">
        <f t="shared" si="471"/>
        <v>0</v>
      </c>
      <c r="R473" s="76">
        <f t="shared" si="472"/>
        <v>0</v>
      </c>
      <c r="S473" s="57">
        <f t="shared" si="473"/>
        <v>0</v>
      </c>
    </row>
    <row r="474" spans="1:19" x14ac:dyDescent="0.4">
      <c r="A474" s="57"/>
      <c r="B474" s="57" t="str">
        <f t="shared" si="474"/>
        <v>BALI100437</v>
      </c>
      <c r="C474" s="57"/>
      <c r="D474" s="57"/>
      <c r="E474" s="57"/>
      <c r="F474" s="71">
        <f t="shared" si="475"/>
        <v>306</v>
      </c>
      <c r="G474" s="72">
        <f t="shared" si="476"/>
        <v>0</v>
      </c>
      <c r="H474" s="57">
        <f t="shared" si="463"/>
        <v>0</v>
      </c>
      <c r="I474" s="73">
        <f t="shared" si="464"/>
        <v>0</v>
      </c>
      <c r="J474" s="74">
        <v>22</v>
      </c>
      <c r="K474" s="57">
        <f t="shared" si="465"/>
        <v>0</v>
      </c>
      <c r="L474" s="75">
        <f t="shared" si="466"/>
        <v>0</v>
      </c>
      <c r="M474" s="76">
        <f t="shared" si="467"/>
        <v>0</v>
      </c>
      <c r="N474" s="76">
        <f t="shared" si="468"/>
        <v>0</v>
      </c>
      <c r="O474" s="77">
        <f t="shared" si="469"/>
        <v>0</v>
      </c>
      <c r="P474" s="77">
        <f t="shared" si="470"/>
        <v>0</v>
      </c>
      <c r="Q474" s="76">
        <f t="shared" si="471"/>
        <v>0</v>
      </c>
      <c r="R474" s="76">
        <f t="shared" si="472"/>
        <v>0</v>
      </c>
      <c r="S474" s="57">
        <f t="shared" si="473"/>
        <v>0</v>
      </c>
    </row>
    <row r="475" spans="1:19" x14ac:dyDescent="0.4">
      <c r="A475" s="57"/>
      <c r="B475" s="57" t="str">
        <f t="shared" si="474"/>
        <v>BALI100437</v>
      </c>
      <c r="C475" s="57"/>
      <c r="D475" s="57"/>
      <c r="E475" s="57"/>
      <c r="F475" s="71">
        <f t="shared" si="475"/>
        <v>336</v>
      </c>
      <c r="G475" s="72">
        <f t="shared" si="476"/>
        <v>0</v>
      </c>
      <c r="H475" s="57">
        <f t="shared" si="463"/>
        <v>0</v>
      </c>
      <c r="I475" s="73">
        <f t="shared" si="464"/>
        <v>0</v>
      </c>
      <c r="J475" s="74">
        <v>22</v>
      </c>
      <c r="K475" s="57">
        <f t="shared" si="465"/>
        <v>0</v>
      </c>
      <c r="L475" s="75">
        <f t="shared" si="466"/>
        <v>0</v>
      </c>
      <c r="M475" s="76">
        <f t="shared" si="467"/>
        <v>0</v>
      </c>
      <c r="N475" s="76">
        <f t="shared" si="468"/>
        <v>0</v>
      </c>
      <c r="O475" s="77">
        <f t="shared" si="469"/>
        <v>0</v>
      </c>
      <c r="P475" s="77">
        <f t="shared" si="470"/>
        <v>0</v>
      </c>
      <c r="Q475" s="76">
        <f t="shared" si="471"/>
        <v>0</v>
      </c>
      <c r="R475" s="76">
        <f t="shared" si="472"/>
        <v>0</v>
      </c>
      <c r="S475" s="57">
        <f t="shared" si="473"/>
        <v>0</v>
      </c>
    </row>
    <row r="476" spans="1:19" x14ac:dyDescent="0.4">
      <c r="A476" s="57"/>
      <c r="B476" s="57" t="str">
        <f t="shared" si="474"/>
        <v>BALI100437</v>
      </c>
      <c r="C476" s="57"/>
      <c r="D476" s="57"/>
      <c r="E476" s="57"/>
      <c r="F476" s="71">
        <f t="shared" si="475"/>
        <v>367</v>
      </c>
      <c r="G476" s="72">
        <f t="shared" si="476"/>
        <v>0</v>
      </c>
      <c r="H476" s="57">
        <f t="shared" si="463"/>
        <v>0</v>
      </c>
      <c r="I476" s="73">
        <f t="shared" si="464"/>
        <v>0</v>
      </c>
      <c r="J476" s="74">
        <v>22</v>
      </c>
      <c r="K476" s="57">
        <f t="shared" si="465"/>
        <v>0</v>
      </c>
      <c r="L476" s="75">
        <f t="shared" si="466"/>
        <v>0</v>
      </c>
      <c r="M476" s="76">
        <f t="shared" si="467"/>
        <v>0</v>
      </c>
      <c r="N476" s="76">
        <f t="shared" si="468"/>
        <v>0</v>
      </c>
      <c r="O476" s="77">
        <f t="shared" si="469"/>
        <v>0</v>
      </c>
      <c r="P476" s="77">
        <f t="shared" si="470"/>
        <v>0</v>
      </c>
      <c r="Q476" s="76">
        <f t="shared" si="471"/>
        <v>0</v>
      </c>
      <c r="R476" s="76">
        <f t="shared" si="472"/>
        <v>0</v>
      </c>
      <c r="S476" s="57">
        <f t="shared" si="473"/>
        <v>0</v>
      </c>
    </row>
    <row r="477" spans="1:19" x14ac:dyDescent="0.4">
      <c r="B477" s="57"/>
    </row>
    <row r="478" spans="1:19" ht="123" customHeight="1" x14ac:dyDescent="0.4">
      <c r="A478" s="69" t="s">
        <v>11</v>
      </c>
      <c r="B478" s="69" t="s">
        <v>11</v>
      </c>
      <c r="C478" s="69" t="s">
        <v>155</v>
      </c>
      <c r="D478" s="69" t="s">
        <v>158</v>
      </c>
      <c r="E478" s="69" t="s">
        <v>185</v>
      </c>
      <c r="F478" s="69" t="s">
        <v>186</v>
      </c>
      <c r="G478" s="70" t="s">
        <v>156</v>
      </c>
      <c r="H478" s="69" t="s">
        <v>187</v>
      </c>
      <c r="I478" s="69" t="s">
        <v>188</v>
      </c>
      <c r="J478" s="69" t="s">
        <v>158</v>
      </c>
      <c r="K478" s="69" t="s">
        <v>159</v>
      </c>
      <c r="L478" s="69" t="s">
        <v>160</v>
      </c>
      <c r="M478" s="69" t="s">
        <v>161</v>
      </c>
      <c r="N478" s="69" t="s">
        <v>162</v>
      </c>
      <c r="O478" s="69" t="s">
        <v>163</v>
      </c>
      <c r="P478" s="69" t="s">
        <v>164</v>
      </c>
      <c r="Q478" s="69" t="s">
        <v>165</v>
      </c>
      <c r="R478" s="69" t="s">
        <v>166</v>
      </c>
      <c r="S478" s="69" t="s">
        <v>189</v>
      </c>
    </row>
    <row r="479" spans="1:19" x14ac:dyDescent="0.4">
      <c r="A479" s="57">
        <f>+A465+1</f>
        <v>35</v>
      </c>
      <c r="B479" s="57" t="str">
        <f>INDEX('sale resgister'!B:B,A479+1,1)</f>
        <v>PDL92919</v>
      </c>
      <c r="C479" s="71">
        <f>+VLOOKUP(B479,'sale resgister'!B:J,9,0)</f>
        <v>0</v>
      </c>
      <c r="D479" s="79" t="str">
        <f>+VLOOKUP(B479,'sale resgister'!B:J,2,0)</f>
        <v>Batch 3</v>
      </c>
      <c r="E479" s="96">
        <f>IF(C479=0,0,VLOOKUP(B479,'sale resgister'!B:J,4,0))</f>
        <v>0</v>
      </c>
      <c r="F479" s="71">
        <f>DATE(YEAR(C479),MONTH(C479)+1,1)</f>
        <v>32</v>
      </c>
      <c r="G479" s="72">
        <f>E479</f>
        <v>0</v>
      </c>
      <c r="H479" s="57">
        <f t="shared" ref="H479:H490" si="477">ROUND(+G479*$H$1,3)</f>
        <v>0</v>
      </c>
      <c r="I479" s="73">
        <f t="shared" ref="I479:I490" si="478">IFERROR(+VLOOKUP(F479,$W$3:$X$15,2,0),0)</f>
        <v>0</v>
      </c>
      <c r="J479" s="74">
        <v>22</v>
      </c>
      <c r="K479" s="57">
        <f t="shared" ref="K479:K490" si="479">ROUND(+H479*97%,3)</f>
        <v>0</v>
      </c>
      <c r="L479" s="75">
        <f t="shared" ref="L479:L490" si="480">(K479-H479*92%)*I479</f>
        <v>0</v>
      </c>
      <c r="M479" s="76">
        <f t="shared" ref="M479:M490" si="481">ROUND(I479*92%*H479,2)</f>
        <v>0</v>
      </c>
      <c r="N479" s="76">
        <f t="shared" ref="N479:N490" si="482">ROUND(+M479*0.11,2)</f>
        <v>0</v>
      </c>
      <c r="O479" s="77">
        <f t="shared" ref="O479:O490" si="483">+N479-L479</f>
        <v>0</v>
      </c>
      <c r="P479" s="77">
        <f t="shared" ref="P479:P490" si="484">ROUND(+O479*15%,2)</f>
        <v>0</v>
      </c>
      <c r="Q479" s="76">
        <f t="shared" ref="Q479:Q490" si="485">ROUND(+(O479-P479)*60%,2)</f>
        <v>0</v>
      </c>
      <c r="R479" s="76">
        <f t="shared" ref="R479:R490" si="486">ROUND(+(O479-P479)*40%,2)</f>
        <v>0</v>
      </c>
      <c r="S479" s="57">
        <f t="shared" ref="S479:S490" si="487">IFERROR(ROUND(+Q479/(I479/92%),3),0)</f>
        <v>0</v>
      </c>
    </row>
    <row r="480" spans="1:19" x14ac:dyDescent="0.4">
      <c r="A480" s="57"/>
      <c r="B480" s="57" t="str">
        <f t="shared" ref="B480:B490" si="488">+B479</f>
        <v>PDL92919</v>
      </c>
      <c r="C480" s="57"/>
      <c r="D480" s="57"/>
      <c r="E480" s="57"/>
      <c r="F480" s="71">
        <f t="shared" ref="F480:F490" si="489">IF(+DATE(YEAR(F479),MONTH(F479)+1,1)&gt;$G$1+1,0,+DATE(YEAR(F479),MONTH(F479)+1,1))</f>
        <v>61</v>
      </c>
      <c r="G480" s="72">
        <f t="shared" ref="G480:G490" si="490">ROUND(IF(F480=0,0,(G479+S479)),3)</f>
        <v>0</v>
      </c>
      <c r="H480" s="57">
        <f t="shared" si="477"/>
        <v>0</v>
      </c>
      <c r="I480" s="73">
        <f t="shared" si="478"/>
        <v>0</v>
      </c>
      <c r="J480" s="74">
        <v>22</v>
      </c>
      <c r="K480" s="57">
        <f t="shared" si="479"/>
        <v>0</v>
      </c>
      <c r="L480" s="75">
        <f t="shared" si="480"/>
        <v>0</v>
      </c>
      <c r="M480" s="76">
        <f t="shared" si="481"/>
        <v>0</v>
      </c>
      <c r="N480" s="76">
        <f t="shared" si="482"/>
        <v>0</v>
      </c>
      <c r="O480" s="77">
        <f t="shared" si="483"/>
        <v>0</v>
      </c>
      <c r="P480" s="77">
        <f t="shared" si="484"/>
        <v>0</v>
      </c>
      <c r="Q480" s="76">
        <f t="shared" si="485"/>
        <v>0</v>
      </c>
      <c r="R480" s="76">
        <f t="shared" si="486"/>
        <v>0</v>
      </c>
      <c r="S480" s="57">
        <f t="shared" si="487"/>
        <v>0</v>
      </c>
    </row>
    <row r="481" spans="1:19" x14ac:dyDescent="0.4">
      <c r="A481" s="57"/>
      <c r="B481" s="57" t="str">
        <f t="shared" si="488"/>
        <v>PDL92919</v>
      </c>
      <c r="C481" s="57"/>
      <c r="D481" s="57"/>
      <c r="E481" s="71"/>
      <c r="F481" s="71">
        <f t="shared" si="489"/>
        <v>92</v>
      </c>
      <c r="G481" s="72">
        <f t="shared" si="490"/>
        <v>0</v>
      </c>
      <c r="H481" s="57">
        <f t="shared" si="477"/>
        <v>0</v>
      </c>
      <c r="I481" s="73">
        <f t="shared" si="478"/>
        <v>0</v>
      </c>
      <c r="J481" s="74">
        <v>22</v>
      </c>
      <c r="K481" s="57">
        <f t="shared" si="479"/>
        <v>0</v>
      </c>
      <c r="L481" s="75">
        <f t="shared" si="480"/>
        <v>0</v>
      </c>
      <c r="M481" s="76">
        <f t="shared" si="481"/>
        <v>0</v>
      </c>
      <c r="N481" s="76">
        <f t="shared" si="482"/>
        <v>0</v>
      </c>
      <c r="O481" s="77">
        <f t="shared" si="483"/>
        <v>0</v>
      </c>
      <c r="P481" s="77">
        <f t="shared" si="484"/>
        <v>0</v>
      </c>
      <c r="Q481" s="76">
        <f t="shared" si="485"/>
        <v>0</v>
      </c>
      <c r="R481" s="76">
        <f t="shared" si="486"/>
        <v>0</v>
      </c>
      <c r="S481" s="57">
        <f t="shared" si="487"/>
        <v>0</v>
      </c>
    </row>
    <row r="482" spans="1:19" x14ac:dyDescent="0.4">
      <c r="A482" s="57"/>
      <c r="B482" s="57" t="str">
        <f t="shared" si="488"/>
        <v>PDL92919</v>
      </c>
      <c r="C482" s="57"/>
      <c r="D482" s="57"/>
      <c r="E482" s="57"/>
      <c r="F482" s="71">
        <f t="shared" si="489"/>
        <v>122</v>
      </c>
      <c r="G482" s="72">
        <f t="shared" si="490"/>
        <v>0</v>
      </c>
      <c r="H482" s="57">
        <f t="shared" si="477"/>
        <v>0</v>
      </c>
      <c r="I482" s="73">
        <f t="shared" si="478"/>
        <v>0</v>
      </c>
      <c r="J482" s="74">
        <v>22</v>
      </c>
      <c r="K482" s="57">
        <f t="shared" si="479"/>
        <v>0</v>
      </c>
      <c r="L482" s="75">
        <f t="shared" si="480"/>
        <v>0</v>
      </c>
      <c r="M482" s="76">
        <f t="shared" si="481"/>
        <v>0</v>
      </c>
      <c r="N482" s="76">
        <f t="shared" si="482"/>
        <v>0</v>
      </c>
      <c r="O482" s="77">
        <f t="shared" si="483"/>
        <v>0</v>
      </c>
      <c r="P482" s="77">
        <f t="shared" si="484"/>
        <v>0</v>
      </c>
      <c r="Q482" s="76">
        <f t="shared" si="485"/>
        <v>0</v>
      </c>
      <c r="R482" s="76">
        <f t="shared" si="486"/>
        <v>0</v>
      </c>
      <c r="S482" s="57">
        <f t="shared" si="487"/>
        <v>0</v>
      </c>
    </row>
    <row r="483" spans="1:19" x14ac:dyDescent="0.4">
      <c r="A483" s="57"/>
      <c r="B483" s="57" t="str">
        <f t="shared" si="488"/>
        <v>PDL92919</v>
      </c>
      <c r="C483" s="71"/>
      <c r="D483" s="57"/>
      <c r="E483" s="57"/>
      <c r="F483" s="71">
        <f t="shared" si="489"/>
        <v>153</v>
      </c>
      <c r="G483" s="72">
        <f t="shared" si="490"/>
        <v>0</v>
      </c>
      <c r="H483" s="57">
        <f t="shared" si="477"/>
        <v>0</v>
      </c>
      <c r="I483" s="73">
        <f t="shared" si="478"/>
        <v>0</v>
      </c>
      <c r="J483" s="74">
        <v>22</v>
      </c>
      <c r="K483" s="57">
        <f t="shared" si="479"/>
        <v>0</v>
      </c>
      <c r="L483" s="75">
        <f t="shared" si="480"/>
        <v>0</v>
      </c>
      <c r="M483" s="76">
        <f t="shared" si="481"/>
        <v>0</v>
      </c>
      <c r="N483" s="76">
        <f t="shared" si="482"/>
        <v>0</v>
      </c>
      <c r="O483" s="77">
        <f t="shared" si="483"/>
        <v>0</v>
      </c>
      <c r="P483" s="77">
        <f t="shared" si="484"/>
        <v>0</v>
      </c>
      <c r="Q483" s="76">
        <f t="shared" si="485"/>
        <v>0</v>
      </c>
      <c r="R483" s="76">
        <f t="shared" si="486"/>
        <v>0</v>
      </c>
      <c r="S483" s="57">
        <f t="shared" si="487"/>
        <v>0</v>
      </c>
    </row>
    <row r="484" spans="1:19" x14ac:dyDescent="0.4">
      <c r="A484" s="57"/>
      <c r="B484" s="57" t="str">
        <f t="shared" si="488"/>
        <v>PDL92919</v>
      </c>
      <c r="C484" s="57"/>
      <c r="D484" s="57"/>
      <c r="E484" s="57"/>
      <c r="F484" s="71">
        <f t="shared" si="489"/>
        <v>183</v>
      </c>
      <c r="G484" s="72">
        <f t="shared" si="490"/>
        <v>0</v>
      </c>
      <c r="H484" s="57">
        <f t="shared" si="477"/>
        <v>0</v>
      </c>
      <c r="I484" s="73">
        <f t="shared" si="478"/>
        <v>0</v>
      </c>
      <c r="J484" s="74">
        <v>22</v>
      </c>
      <c r="K484" s="57">
        <f t="shared" si="479"/>
        <v>0</v>
      </c>
      <c r="L484" s="75">
        <f t="shared" si="480"/>
        <v>0</v>
      </c>
      <c r="M484" s="76">
        <f t="shared" si="481"/>
        <v>0</v>
      </c>
      <c r="N484" s="76">
        <f t="shared" si="482"/>
        <v>0</v>
      </c>
      <c r="O484" s="77">
        <f t="shared" si="483"/>
        <v>0</v>
      </c>
      <c r="P484" s="77">
        <f t="shared" si="484"/>
        <v>0</v>
      </c>
      <c r="Q484" s="76">
        <f t="shared" si="485"/>
        <v>0</v>
      </c>
      <c r="R484" s="76">
        <f t="shared" si="486"/>
        <v>0</v>
      </c>
      <c r="S484" s="57">
        <f t="shared" si="487"/>
        <v>0</v>
      </c>
    </row>
    <row r="485" spans="1:19" x14ac:dyDescent="0.4">
      <c r="A485" s="57"/>
      <c r="B485" s="57" t="str">
        <f t="shared" si="488"/>
        <v>PDL92919</v>
      </c>
      <c r="C485" s="57"/>
      <c r="D485" s="57"/>
      <c r="E485" s="57"/>
      <c r="F485" s="71">
        <f t="shared" si="489"/>
        <v>214</v>
      </c>
      <c r="G485" s="72">
        <f t="shared" si="490"/>
        <v>0</v>
      </c>
      <c r="H485" s="57">
        <f t="shared" si="477"/>
        <v>0</v>
      </c>
      <c r="I485" s="73">
        <f t="shared" si="478"/>
        <v>0</v>
      </c>
      <c r="J485" s="74">
        <v>22</v>
      </c>
      <c r="K485" s="57">
        <f t="shared" si="479"/>
        <v>0</v>
      </c>
      <c r="L485" s="75">
        <f t="shared" si="480"/>
        <v>0</v>
      </c>
      <c r="M485" s="76">
        <f t="shared" si="481"/>
        <v>0</v>
      </c>
      <c r="N485" s="76">
        <f t="shared" si="482"/>
        <v>0</v>
      </c>
      <c r="O485" s="77">
        <f t="shared" si="483"/>
        <v>0</v>
      </c>
      <c r="P485" s="77">
        <f t="shared" si="484"/>
        <v>0</v>
      </c>
      <c r="Q485" s="76">
        <f t="shared" si="485"/>
        <v>0</v>
      </c>
      <c r="R485" s="76">
        <f t="shared" si="486"/>
        <v>0</v>
      </c>
      <c r="S485" s="57">
        <f t="shared" si="487"/>
        <v>0</v>
      </c>
    </row>
    <row r="486" spans="1:19" x14ac:dyDescent="0.4">
      <c r="A486" s="57"/>
      <c r="B486" s="57" t="str">
        <f t="shared" si="488"/>
        <v>PDL92919</v>
      </c>
      <c r="C486" s="57"/>
      <c r="D486" s="79"/>
      <c r="E486" s="57"/>
      <c r="F486" s="71">
        <f t="shared" si="489"/>
        <v>245</v>
      </c>
      <c r="G486" s="72">
        <f t="shared" si="490"/>
        <v>0</v>
      </c>
      <c r="H486" s="57">
        <f t="shared" si="477"/>
        <v>0</v>
      </c>
      <c r="I486" s="73">
        <f t="shared" si="478"/>
        <v>0</v>
      </c>
      <c r="J486" s="74">
        <v>22</v>
      </c>
      <c r="K486" s="57">
        <f t="shared" si="479"/>
        <v>0</v>
      </c>
      <c r="L486" s="75">
        <f t="shared" si="480"/>
        <v>0</v>
      </c>
      <c r="M486" s="76">
        <f t="shared" si="481"/>
        <v>0</v>
      </c>
      <c r="N486" s="76">
        <f t="shared" si="482"/>
        <v>0</v>
      </c>
      <c r="O486" s="77">
        <f t="shared" si="483"/>
        <v>0</v>
      </c>
      <c r="P486" s="77">
        <f t="shared" si="484"/>
        <v>0</v>
      </c>
      <c r="Q486" s="76">
        <f t="shared" si="485"/>
        <v>0</v>
      </c>
      <c r="R486" s="76">
        <f t="shared" si="486"/>
        <v>0</v>
      </c>
      <c r="S486" s="57">
        <f t="shared" si="487"/>
        <v>0</v>
      </c>
    </row>
    <row r="487" spans="1:19" x14ac:dyDescent="0.4">
      <c r="A487" s="57"/>
      <c r="B487" s="57" t="str">
        <f t="shared" si="488"/>
        <v>PDL92919</v>
      </c>
      <c r="C487" s="57"/>
      <c r="D487" s="79"/>
      <c r="E487" s="57"/>
      <c r="F487" s="71">
        <f t="shared" si="489"/>
        <v>275</v>
      </c>
      <c r="G487" s="72">
        <f t="shared" si="490"/>
        <v>0</v>
      </c>
      <c r="H487" s="57">
        <f t="shared" si="477"/>
        <v>0</v>
      </c>
      <c r="I487" s="73">
        <f t="shared" si="478"/>
        <v>0</v>
      </c>
      <c r="J487" s="74">
        <v>22</v>
      </c>
      <c r="K487" s="57">
        <f t="shared" si="479"/>
        <v>0</v>
      </c>
      <c r="L487" s="75">
        <f t="shared" si="480"/>
        <v>0</v>
      </c>
      <c r="M487" s="76">
        <f t="shared" si="481"/>
        <v>0</v>
      </c>
      <c r="N487" s="76">
        <f t="shared" si="482"/>
        <v>0</v>
      </c>
      <c r="O487" s="77">
        <f t="shared" si="483"/>
        <v>0</v>
      </c>
      <c r="P487" s="77">
        <f t="shared" si="484"/>
        <v>0</v>
      </c>
      <c r="Q487" s="76">
        <f t="shared" si="485"/>
        <v>0</v>
      </c>
      <c r="R487" s="76">
        <f t="shared" si="486"/>
        <v>0</v>
      </c>
      <c r="S487" s="57">
        <f t="shared" si="487"/>
        <v>0</v>
      </c>
    </row>
    <row r="488" spans="1:19" x14ac:dyDescent="0.4">
      <c r="A488" s="57"/>
      <c r="B488" s="57" t="str">
        <f t="shared" si="488"/>
        <v>PDL92919</v>
      </c>
      <c r="C488" s="57"/>
      <c r="D488" s="57"/>
      <c r="E488" s="57"/>
      <c r="F488" s="71">
        <f t="shared" si="489"/>
        <v>306</v>
      </c>
      <c r="G488" s="72">
        <f t="shared" si="490"/>
        <v>0</v>
      </c>
      <c r="H488" s="57">
        <f t="shared" si="477"/>
        <v>0</v>
      </c>
      <c r="I488" s="73">
        <f t="shared" si="478"/>
        <v>0</v>
      </c>
      <c r="J488" s="74">
        <v>22</v>
      </c>
      <c r="K488" s="57">
        <f t="shared" si="479"/>
        <v>0</v>
      </c>
      <c r="L488" s="75">
        <f t="shared" si="480"/>
        <v>0</v>
      </c>
      <c r="M488" s="76">
        <f t="shared" si="481"/>
        <v>0</v>
      </c>
      <c r="N488" s="76">
        <f t="shared" si="482"/>
        <v>0</v>
      </c>
      <c r="O488" s="77">
        <f t="shared" si="483"/>
        <v>0</v>
      </c>
      <c r="P488" s="77">
        <f t="shared" si="484"/>
        <v>0</v>
      </c>
      <c r="Q488" s="76">
        <f t="shared" si="485"/>
        <v>0</v>
      </c>
      <c r="R488" s="76">
        <f t="shared" si="486"/>
        <v>0</v>
      </c>
      <c r="S488" s="57">
        <f t="shared" si="487"/>
        <v>0</v>
      </c>
    </row>
    <row r="489" spans="1:19" x14ac:dyDescent="0.4">
      <c r="A489" s="57"/>
      <c r="B489" s="57" t="str">
        <f t="shared" si="488"/>
        <v>PDL92919</v>
      </c>
      <c r="C489" s="57"/>
      <c r="D489" s="57"/>
      <c r="E489" s="57"/>
      <c r="F489" s="71">
        <f t="shared" si="489"/>
        <v>336</v>
      </c>
      <c r="G489" s="72">
        <f t="shared" si="490"/>
        <v>0</v>
      </c>
      <c r="H489" s="57">
        <f t="shared" si="477"/>
        <v>0</v>
      </c>
      <c r="I489" s="73">
        <f t="shared" si="478"/>
        <v>0</v>
      </c>
      <c r="J489" s="74">
        <v>22</v>
      </c>
      <c r="K489" s="57">
        <f t="shared" si="479"/>
        <v>0</v>
      </c>
      <c r="L489" s="75">
        <f t="shared" si="480"/>
        <v>0</v>
      </c>
      <c r="M489" s="76">
        <f t="shared" si="481"/>
        <v>0</v>
      </c>
      <c r="N489" s="76">
        <f t="shared" si="482"/>
        <v>0</v>
      </c>
      <c r="O489" s="77">
        <f t="shared" si="483"/>
        <v>0</v>
      </c>
      <c r="P489" s="77">
        <f t="shared" si="484"/>
        <v>0</v>
      </c>
      <c r="Q489" s="76">
        <f t="shared" si="485"/>
        <v>0</v>
      </c>
      <c r="R489" s="76">
        <f t="shared" si="486"/>
        <v>0</v>
      </c>
      <c r="S489" s="57">
        <f t="shared" si="487"/>
        <v>0</v>
      </c>
    </row>
    <row r="490" spans="1:19" x14ac:dyDescent="0.4">
      <c r="A490" s="57"/>
      <c r="B490" s="57" t="str">
        <f t="shared" si="488"/>
        <v>PDL92919</v>
      </c>
      <c r="C490" s="57"/>
      <c r="D490" s="57"/>
      <c r="E490" s="57"/>
      <c r="F490" s="71">
        <f t="shared" si="489"/>
        <v>367</v>
      </c>
      <c r="G490" s="72">
        <f t="shared" si="490"/>
        <v>0</v>
      </c>
      <c r="H490" s="57">
        <f t="shared" si="477"/>
        <v>0</v>
      </c>
      <c r="I490" s="73">
        <f t="shared" si="478"/>
        <v>0</v>
      </c>
      <c r="J490" s="74">
        <v>22</v>
      </c>
      <c r="K490" s="57">
        <f t="shared" si="479"/>
        <v>0</v>
      </c>
      <c r="L490" s="75">
        <f t="shared" si="480"/>
        <v>0</v>
      </c>
      <c r="M490" s="76">
        <f t="shared" si="481"/>
        <v>0</v>
      </c>
      <c r="N490" s="76">
        <f t="shared" si="482"/>
        <v>0</v>
      </c>
      <c r="O490" s="77">
        <f t="shared" si="483"/>
        <v>0</v>
      </c>
      <c r="P490" s="77">
        <f t="shared" si="484"/>
        <v>0</v>
      </c>
      <c r="Q490" s="76">
        <f t="shared" si="485"/>
        <v>0</v>
      </c>
      <c r="R490" s="76">
        <f t="shared" si="486"/>
        <v>0</v>
      </c>
      <c r="S490" s="57">
        <f t="shared" si="487"/>
        <v>0</v>
      </c>
    </row>
    <row r="491" spans="1:19" x14ac:dyDescent="0.4">
      <c r="B491" s="57"/>
    </row>
    <row r="492" spans="1:19" ht="123" customHeight="1" x14ac:dyDescent="0.4">
      <c r="A492" s="69" t="s">
        <v>11</v>
      </c>
      <c r="B492" s="69" t="s">
        <v>11</v>
      </c>
      <c r="C492" s="69" t="s">
        <v>155</v>
      </c>
      <c r="D492" s="69" t="s">
        <v>158</v>
      </c>
      <c r="E492" s="69" t="s">
        <v>185</v>
      </c>
      <c r="F492" s="69" t="s">
        <v>186</v>
      </c>
      <c r="G492" s="70" t="s">
        <v>156</v>
      </c>
      <c r="H492" s="69" t="s">
        <v>187</v>
      </c>
      <c r="I492" s="69" t="s">
        <v>188</v>
      </c>
      <c r="J492" s="69" t="s">
        <v>158</v>
      </c>
      <c r="K492" s="69" t="s">
        <v>159</v>
      </c>
      <c r="L492" s="69" t="s">
        <v>160</v>
      </c>
      <c r="M492" s="69" t="s">
        <v>161</v>
      </c>
      <c r="N492" s="69" t="s">
        <v>162</v>
      </c>
      <c r="O492" s="69" t="s">
        <v>163</v>
      </c>
      <c r="P492" s="69" t="s">
        <v>164</v>
      </c>
      <c r="Q492" s="69" t="s">
        <v>165</v>
      </c>
      <c r="R492" s="69" t="s">
        <v>166</v>
      </c>
      <c r="S492" s="69" t="s">
        <v>189</v>
      </c>
    </row>
    <row r="493" spans="1:19" x14ac:dyDescent="0.4">
      <c r="A493" s="57">
        <f>+A479+1</f>
        <v>36</v>
      </c>
      <c r="B493" s="57" t="str">
        <f>INDEX('sale resgister'!B:B,A493+1,1)</f>
        <v>PDL92918</v>
      </c>
      <c r="C493" s="71">
        <f>+VLOOKUP(B493,'sale resgister'!B:J,9,0)</f>
        <v>45968</v>
      </c>
      <c r="D493" s="79" t="str">
        <f>+VLOOKUP(B493,'sale resgister'!B:J,2,0)</f>
        <v>Batch 3</v>
      </c>
      <c r="E493" s="96">
        <f>IF(C493=0,0,VLOOKUP(B493,'sale resgister'!B:J,4,0))</f>
        <v>1.052</v>
      </c>
      <c r="F493" s="71">
        <f>DATE(YEAR(C493),MONTH(C493)+1,1)</f>
        <v>45992</v>
      </c>
      <c r="G493" s="72">
        <f>E493</f>
        <v>1.052</v>
      </c>
      <c r="H493" s="57">
        <f t="shared" ref="H493:H504" si="491">ROUND(+G493*$H$1,3)</f>
        <v>7.3999999999999996E-2</v>
      </c>
      <c r="I493" s="73">
        <f t="shared" ref="I493:I504" si="492">IFERROR(+VLOOKUP(F493,$W$3:$X$15,2,0),0)</f>
        <v>13220</v>
      </c>
      <c r="J493" s="74">
        <v>22</v>
      </c>
      <c r="K493" s="57">
        <f t="shared" ref="K493:K504" si="493">ROUND(+H493*97%,3)</f>
        <v>7.1999999999999995E-2</v>
      </c>
      <c r="L493" s="75">
        <f t="shared" ref="L493:L504" si="494">(K493-H493*92%)*I493</f>
        <v>51.822399999999909</v>
      </c>
      <c r="M493" s="76">
        <f t="shared" ref="M493:M504" si="495">ROUND(I493*92%*H493,2)</f>
        <v>900.02</v>
      </c>
      <c r="N493" s="76">
        <f t="shared" ref="N493:N504" si="496">ROUND(+M493*0.11,2)</f>
        <v>99</v>
      </c>
      <c r="O493" s="77">
        <f t="shared" ref="O493:O504" si="497">+N493-L493</f>
        <v>47.177600000000091</v>
      </c>
      <c r="P493" s="77">
        <f t="shared" ref="P493:P504" si="498">ROUND(+O493*15%,2)</f>
        <v>7.08</v>
      </c>
      <c r="Q493" s="76">
        <f t="shared" ref="Q493:Q504" si="499">ROUND(+(O493-P493)*60%,2)</f>
        <v>24.06</v>
      </c>
      <c r="R493" s="76">
        <f t="shared" ref="R493:R504" si="500">ROUND(+(O493-P493)*40%,2)</f>
        <v>16.04</v>
      </c>
      <c r="S493" s="57">
        <f t="shared" ref="S493:S504" si="501">IFERROR(ROUND(+Q493/(I493/92%),3),0)</f>
        <v>2E-3</v>
      </c>
    </row>
    <row r="494" spans="1:19" x14ac:dyDescent="0.4">
      <c r="A494" s="57"/>
      <c r="B494" s="57" t="str">
        <f t="shared" ref="B494:B504" si="502">+B493</f>
        <v>PDL92918</v>
      </c>
      <c r="C494" s="57"/>
      <c r="D494" s="57"/>
      <c r="E494" s="57"/>
      <c r="F494" s="71">
        <f t="shared" ref="F494:F504" si="503">IF(+DATE(YEAR(F493),MONTH(F493)+1,1)&gt;$G$1+1,0,+DATE(YEAR(F493),MONTH(F493)+1,1))</f>
        <v>46023</v>
      </c>
      <c r="G494" s="72">
        <f t="shared" ref="G494:G504" si="504">ROUND(IF(F494=0,0,(G493+S493)),3)</f>
        <v>1.054</v>
      </c>
      <c r="H494" s="57">
        <f t="shared" si="491"/>
        <v>7.3999999999999996E-2</v>
      </c>
      <c r="I494" s="73">
        <f t="shared" si="492"/>
        <v>13790</v>
      </c>
      <c r="J494" s="74">
        <v>22</v>
      </c>
      <c r="K494" s="57">
        <f t="shared" si="493"/>
        <v>7.1999999999999995E-2</v>
      </c>
      <c r="L494" s="75">
        <f t="shared" si="494"/>
        <v>54.056799999999903</v>
      </c>
      <c r="M494" s="76">
        <f t="shared" si="495"/>
        <v>938.82</v>
      </c>
      <c r="N494" s="76">
        <f t="shared" si="496"/>
        <v>103.27</v>
      </c>
      <c r="O494" s="77">
        <f t="shared" si="497"/>
        <v>49.213200000000093</v>
      </c>
      <c r="P494" s="77">
        <f t="shared" si="498"/>
        <v>7.38</v>
      </c>
      <c r="Q494" s="76">
        <f t="shared" si="499"/>
        <v>25.1</v>
      </c>
      <c r="R494" s="76">
        <f t="shared" si="500"/>
        <v>16.73</v>
      </c>
      <c r="S494" s="57">
        <f t="shared" si="501"/>
        <v>2E-3</v>
      </c>
    </row>
    <row r="495" spans="1:19" x14ac:dyDescent="0.4">
      <c r="A495" s="57"/>
      <c r="B495" s="57" t="str">
        <f t="shared" si="502"/>
        <v>PDL92918</v>
      </c>
      <c r="C495" s="57"/>
      <c r="D495" s="57"/>
      <c r="E495" s="71"/>
      <c r="F495" s="71">
        <f t="shared" si="503"/>
        <v>46054</v>
      </c>
      <c r="G495" s="72">
        <f t="shared" si="504"/>
        <v>1.056</v>
      </c>
      <c r="H495" s="57">
        <f t="shared" si="491"/>
        <v>7.3999999999999996E-2</v>
      </c>
      <c r="I495" s="73">
        <f t="shared" si="492"/>
        <v>15760</v>
      </c>
      <c r="J495" s="74">
        <v>22</v>
      </c>
      <c r="K495" s="57">
        <f t="shared" si="493"/>
        <v>7.1999999999999995E-2</v>
      </c>
      <c r="L495" s="75">
        <f t="shared" si="494"/>
        <v>61.779199999999889</v>
      </c>
      <c r="M495" s="76">
        <f t="shared" si="495"/>
        <v>1072.94</v>
      </c>
      <c r="N495" s="76">
        <f t="shared" si="496"/>
        <v>118.02</v>
      </c>
      <c r="O495" s="77">
        <f t="shared" si="497"/>
        <v>56.240800000000107</v>
      </c>
      <c r="P495" s="77">
        <f t="shared" si="498"/>
        <v>8.44</v>
      </c>
      <c r="Q495" s="76">
        <f t="shared" si="499"/>
        <v>28.68</v>
      </c>
      <c r="R495" s="76">
        <f t="shared" si="500"/>
        <v>19.12</v>
      </c>
      <c r="S495" s="57">
        <f t="shared" si="501"/>
        <v>2E-3</v>
      </c>
    </row>
    <row r="496" spans="1:19" x14ac:dyDescent="0.4">
      <c r="A496" s="57"/>
      <c r="B496" s="57" t="str">
        <f t="shared" si="502"/>
        <v>PDL92918</v>
      </c>
      <c r="C496" s="57"/>
      <c r="D496" s="57"/>
      <c r="E496" s="57"/>
      <c r="F496" s="71">
        <f t="shared" si="503"/>
        <v>46082</v>
      </c>
      <c r="G496" s="72">
        <f t="shared" si="504"/>
        <v>1.0580000000000001</v>
      </c>
      <c r="H496" s="57">
        <f t="shared" si="491"/>
        <v>7.3999999999999996E-2</v>
      </c>
      <c r="I496" s="73">
        <f t="shared" si="492"/>
        <v>17200</v>
      </c>
      <c r="J496" s="74">
        <v>22</v>
      </c>
      <c r="K496" s="57">
        <f t="shared" si="493"/>
        <v>7.1999999999999995E-2</v>
      </c>
      <c r="L496" s="75">
        <f t="shared" si="494"/>
        <v>67.423999999999879</v>
      </c>
      <c r="M496" s="76">
        <f t="shared" si="495"/>
        <v>1170.98</v>
      </c>
      <c r="N496" s="76">
        <f t="shared" si="496"/>
        <v>128.81</v>
      </c>
      <c r="O496" s="77">
        <f t="shared" si="497"/>
        <v>61.386000000000124</v>
      </c>
      <c r="P496" s="77">
        <f t="shared" si="498"/>
        <v>9.2100000000000009</v>
      </c>
      <c r="Q496" s="76">
        <f t="shared" si="499"/>
        <v>31.31</v>
      </c>
      <c r="R496" s="76">
        <f t="shared" si="500"/>
        <v>20.87</v>
      </c>
      <c r="S496" s="57">
        <f t="shared" si="501"/>
        <v>2E-3</v>
      </c>
    </row>
    <row r="497" spans="1:19" x14ac:dyDescent="0.4">
      <c r="A497" s="57"/>
      <c r="B497" s="57" t="str">
        <f t="shared" si="502"/>
        <v>PDL92918</v>
      </c>
      <c r="C497" s="71"/>
      <c r="D497" s="57"/>
      <c r="E497" s="57"/>
      <c r="F497" s="71">
        <f t="shared" si="503"/>
        <v>46113</v>
      </c>
      <c r="G497" s="72">
        <f t="shared" si="504"/>
        <v>1.06</v>
      </c>
      <c r="H497" s="57">
        <f t="shared" si="491"/>
        <v>7.3999999999999996E-2</v>
      </c>
      <c r="I497" s="73">
        <f t="shared" si="492"/>
        <v>15450</v>
      </c>
      <c r="J497" s="74">
        <v>22</v>
      </c>
      <c r="K497" s="57">
        <f t="shared" si="493"/>
        <v>7.1999999999999995E-2</v>
      </c>
      <c r="L497" s="75">
        <f t="shared" si="494"/>
        <v>60.563999999999893</v>
      </c>
      <c r="M497" s="76">
        <f t="shared" si="495"/>
        <v>1051.8399999999999</v>
      </c>
      <c r="N497" s="76">
        <f t="shared" si="496"/>
        <v>115.7</v>
      </c>
      <c r="O497" s="77">
        <f t="shared" si="497"/>
        <v>55.136000000000109</v>
      </c>
      <c r="P497" s="77">
        <f t="shared" si="498"/>
        <v>8.27</v>
      </c>
      <c r="Q497" s="76">
        <f t="shared" si="499"/>
        <v>28.12</v>
      </c>
      <c r="R497" s="76">
        <f t="shared" si="500"/>
        <v>18.75</v>
      </c>
      <c r="S497" s="57">
        <f t="shared" si="501"/>
        <v>2E-3</v>
      </c>
    </row>
    <row r="498" spans="1:19" x14ac:dyDescent="0.4">
      <c r="A498" s="57"/>
      <c r="B498" s="57" t="str">
        <f t="shared" si="502"/>
        <v>PDL92918</v>
      </c>
      <c r="C498" s="57"/>
      <c r="D498" s="57"/>
      <c r="E498" s="57"/>
      <c r="F498" s="71">
        <f t="shared" si="503"/>
        <v>0</v>
      </c>
      <c r="G498" s="72">
        <f t="shared" si="504"/>
        <v>0</v>
      </c>
      <c r="H498" s="57">
        <f t="shared" si="491"/>
        <v>0</v>
      </c>
      <c r="I498" s="73">
        <f t="shared" si="492"/>
        <v>0</v>
      </c>
      <c r="J498" s="74">
        <v>22</v>
      </c>
      <c r="K498" s="57">
        <f t="shared" si="493"/>
        <v>0</v>
      </c>
      <c r="L498" s="75">
        <f t="shared" si="494"/>
        <v>0</v>
      </c>
      <c r="M498" s="76">
        <f t="shared" si="495"/>
        <v>0</v>
      </c>
      <c r="N498" s="76">
        <f t="shared" si="496"/>
        <v>0</v>
      </c>
      <c r="O498" s="77">
        <f t="shared" si="497"/>
        <v>0</v>
      </c>
      <c r="P498" s="77">
        <f t="shared" si="498"/>
        <v>0</v>
      </c>
      <c r="Q498" s="76">
        <f t="shared" si="499"/>
        <v>0</v>
      </c>
      <c r="R498" s="76">
        <f t="shared" si="500"/>
        <v>0</v>
      </c>
      <c r="S498" s="57">
        <f t="shared" si="501"/>
        <v>0</v>
      </c>
    </row>
    <row r="499" spans="1:19" x14ac:dyDescent="0.4">
      <c r="A499" s="57"/>
      <c r="B499" s="57" t="str">
        <f t="shared" si="502"/>
        <v>PDL92918</v>
      </c>
      <c r="C499" s="57"/>
      <c r="D499" s="57"/>
      <c r="E499" s="57"/>
      <c r="F499" s="71">
        <f t="shared" si="503"/>
        <v>32</v>
      </c>
      <c r="G499" s="72">
        <f t="shared" si="504"/>
        <v>0</v>
      </c>
      <c r="H499" s="57">
        <f t="shared" si="491"/>
        <v>0</v>
      </c>
      <c r="I499" s="73">
        <f t="shared" si="492"/>
        <v>0</v>
      </c>
      <c r="J499" s="74">
        <v>22</v>
      </c>
      <c r="K499" s="57">
        <f t="shared" si="493"/>
        <v>0</v>
      </c>
      <c r="L499" s="75">
        <f t="shared" si="494"/>
        <v>0</v>
      </c>
      <c r="M499" s="76">
        <f t="shared" si="495"/>
        <v>0</v>
      </c>
      <c r="N499" s="76">
        <f t="shared" si="496"/>
        <v>0</v>
      </c>
      <c r="O499" s="77">
        <f t="shared" si="497"/>
        <v>0</v>
      </c>
      <c r="P499" s="77">
        <f t="shared" si="498"/>
        <v>0</v>
      </c>
      <c r="Q499" s="76">
        <f t="shared" si="499"/>
        <v>0</v>
      </c>
      <c r="R499" s="76">
        <f t="shared" si="500"/>
        <v>0</v>
      </c>
      <c r="S499" s="57">
        <f t="shared" si="501"/>
        <v>0</v>
      </c>
    </row>
    <row r="500" spans="1:19" x14ac:dyDescent="0.4">
      <c r="A500" s="57"/>
      <c r="B500" s="57" t="str">
        <f t="shared" si="502"/>
        <v>PDL92918</v>
      </c>
      <c r="C500" s="57"/>
      <c r="D500" s="79"/>
      <c r="E500" s="57"/>
      <c r="F500" s="71">
        <f t="shared" si="503"/>
        <v>61</v>
      </c>
      <c r="G500" s="72">
        <f t="shared" si="504"/>
        <v>0</v>
      </c>
      <c r="H500" s="57">
        <f t="shared" si="491"/>
        <v>0</v>
      </c>
      <c r="I500" s="73">
        <f t="shared" si="492"/>
        <v>0</v>
      </c>
      <c r="J500" s="74">
        <v>22</v>
      </c>
      <c r="K500" s="57">
        <f t="shared" si="493"/>
        <v>0</v>
      </c>
      <c r="L500" s="75">
        <f t="shared" si="494"/>
        <v>0</v>
      </c>
      <c r="M500" s="76">
        <f t="shared" si="495"/>
        <v>0</v>
      </c>
      <c r="N500" s="76">
        <f t="shared" si="496"/>
        <v>0</v>
      </c>
      <c r="O500" s="77">
        <f t="shared" si="497"/>
        <v>0</v>
      </c>
      <c r="P500" s="77">
        <f t="shared" si="498"/>
        <v>0</v>
      </c>
      <c r="Q500" s="76">
        <f t="shared" si="499"/>
        <v>0</v>
      </c>
      <c r="R500" s="76">
        <f t="shared" si="500"/>
        <v>0</v>
      </c>
      <c r="S500" s="57">
        <f t="shared" si="501"/>
        <v>0</v>
      </c>
    </row>
    <row r="501" spans="1:19" x14ac:dyDescent="0.4">
      <c r="A501" s="57"/>
      <c r="B501" s="57" t="str">
        <f t="shared" si="502"/>
        <v>PDL92918</v>
      </c>
      <c r="C501" s="57"/>
      <c r="D501" s="79"/>
      <c r="E501" s="57"/>
      <c r="F501" s="71">
        <f t="shared" si="503"/>
        <v>92</v>
      </c>
      <c r="G501" s="72">
        <f t="shared" si="504"/>
        <v>0</v>
      </c>
      <c r="H501" s="57">
        <f t="shared" si="491"/>
        <v>0</v>
      </c>
      <c r="I501" s="73">
        <f t="shared" si="492"/>
        <v>0</v>
      </c>
      <c r="J501" s="74">
        <v>22</v>
      </c>
      <c r="K501" s="57">
        <f t="shared" si="493"/>
        <v>0</v>
      </c>
      <c r="L501" s="75">
        <f t="shared" si="494"/>
        <v>0</v>
      </c>
      <c r="M501" s="76">
        <f t="shared" si="495"/>
        <v>0</v>
      </c>
      <c r="N501" s="76">
        <f t="shared" si="496"/>
        <v>0</v>
      </c>
      <c r="O501" s="77">
        <f t="shared" si="497"/>
        <v>0</v>
      </c>
      <c r="P501" s="77">
        <f t="shared" si="498"/>
        <v>0</v>
      </c>
      <c r="Q501" s="76">
        <f t="shared" si="499"/>
        <v>0</v>
      </c>
      <c r="R501" s="76">
        <f t="shared" si="500"/>
        <v>0</v>
      </c>
      <c r="S501" s="57">
        <f t="shared" si="501"/>
        <v>0</v>
      </c>
    </row>
    <row r="502" spans="1:19" x14ac:dyDescent="0.4">
      <c r="A502" s="57"/>
      <c r="B502" s="57" t="str">
        <f t="shared" si="502"/>
        <v>PDL92918</v>
      </c>
      <c r="C502" s="57"/>
      <c r="D502" s="57"/>
      <c r="E502" s="57"/>
      <c r="F502" s="71">
        <f t="shared" si="503"/>
        <v>122</v>
      </c>
      <c r="G502" s="72">
        <f t="shared" si="504"/>
        <v>0</v>
      </c>
      <c r="H502" s="57">
        <f t="shared" si="491"/>
        <v>0</v>
      </c>
      <c r="I502" s="73">
        <f t="shared" si="492"/>
        <v>0</v>
      </c>
      <c r="J502" s="74">
        <v>22</v>
      </c>
      <c r="K502" s="57">
        <f t="shared" si="493"/>
        <v>0</v>
      </c>
      <c r="L502" s="75">
        <f t="shared" si="494"/>
        <v>0</v>
      </c>
      <c r="M502" s="76">
        <f t="shared" si="495"/>
        <v>0</v>
      </c>
      <c r="N502" s="76">
        <f t="shared" si="496"/>
        <v>0</v>
      </c>
      <c r="O502" s="77">
        <f t="shared" si="497"/>
        <v>0</v>
      </c>
      <c r="P502" s="77">
        <f t="shared" si="498"/>
        <v>0</v>
      </c>
      <c r="Q502" s="76">
        <f t="shared" si="499"/>
        <v>0</v>
      </c>
      <c r="R502" s="76">
        <f t="shared" si="500"/>
        <v>0</v>
      </c>
      <c r="S502" s="57">
        <f t="shared" si="501"/>
        <v>0</v>
      </c>
    </row>
    <row r="503" spans="1:19" x14ac:dyDescent="0.4">
      <c r="A503" s="57"/>
      <c r="B503" s="57" t="str">
        <f t="shared" si="502"/>
        <v>PDL92918</v>
      </c>
      <c r="C503" s="57"/>
      <c r="D503" s="57"/>
      <c r="E503" s="57"/>
      <c r="F503" s="71">
        <f t="shared" si="503"/>
        <v>153</v>
      </c>
      <c r="G503" s="72">
        <f t="shared" si="504"/>
        <v>0</v>
      </c>
      <c r="H503" s="57">
        <f t="shared" si="491"/>
        <v>0</v>
      </c>
      <c r="I503" s="73">
        <f t="shared" si="492"/>
        <v>0</v>
      </c>
      <c r="J503" s="74">
        <v>22</v>
      </c>
      <c r="K503" s="57">
        <f t="shared" si="493"/>
        <v>0</v>
      </c>
      <c r="L503" s="75">
        <f t="shared" si="494"/>
        <v>0</v>
      </c>
      <c r="M503" s="76">
        <f t="shared" si="495"/>
        <v>0</v>
      </c>
      <c r="N503" s="76">
        <f t="shared" si="496"/>
        <v>0</v>
      </c>
      <c r="O503" s="77">
        <f t="shared" si="497"/>
        <v>0</v>
      </c>
      <c r="P503" s="77">
        <f t="shared" si="498"/>
        <v>0</v>
      </c>
      <c r="Q503" s="76">
        <f t="shared" si="499"/>
        <v>0</v>
      </c>
      <c r="R503" s="76">
        <f t="shared" si="500"/>
        <v>0</v>
      </c>
      <c r="S503" s="57">
        <f t="shared" si="501"/>
        <v>0</v>
      </c>
    </row>
    <row r="504" spans="1:19" x14ac:dyDescent="0.4">
      <c r="A504" s="57"/>
      <c r="B504" s="57" t="str">
        <f t="shared" si="502"/>
        <v>PDL92918</v>
      </c>
      <c r="C504" s="57"/>
      <c r="D504" s="57"/>
      <c r="E504" s="57"/>
      <c r="F504" s="71">
        <f t="shared" si="503"/>
        <v>183</v>
      </c>
      <c r="G504" s="72">
        <f t="shared" si="504"/>
        <v>0</v>
      </c>
      <c r="H504" s="57">
        <f t="shared" si="491"/>
        <v>0</v>
      </c>
      <c r="I504" s="73">
        <f t="shared" si="492"/>
        <v>0</v>
      </c>
      <c r="J504" s="74">
        <v>22</v>
      </c>
      <c r="K504" s="57">
        <f t="shared" si="493"/>
        <v>0</v>
      </c>
      <c r="L504" s="75">
        <f t="shared" si="494"/>
        <v>0</v>
      </c>
      <c r="M504" s="76">
        <f t="shared" si="495"/>
        <v>0</v>
      </c>
      <c r="N504" s="76">
        <f t="shared" si="496"/>
        <v>0</v>
      </c>
      <c r="O504" s="77">
        <f t="shared" si="497"/>
        <v>0</v>
      </c>
      <c r="P504" s="77">
        <f t="shared" si="498"/>
        <v>0</v>
      </c>
      <c r="Q504" s="76">
        <f t="shared" si="499"/>
        <v>0</v>
      </c>
      <c r="R504" s="76">
        <f t="shared" si="500"/>
        <v>0</v>
      </c>
      <c r="S504" s="57">
        <f t="shared" si="501"/>
        <v>0</v>
      </c>
    </row>
    <row r="505" spans="1:19" x14ac:dyDescent="0.4">
      <c r="B505" s="57"/>
    </row>
    <row r="506" spans="1:19" ht="123" customHeight="1" x14ac:dyDescent="0.4">
      <c r="A506" s="69" t="s">
        <v>11</v>
      </c>
      <c r="B506" s="69" t="s">
        <v>11</v>
      </c>
      <c r="C506" s="69" t="s">
        <v>155</v>
      </c>
      <c r="D506" s="69" t="s">
        <v>158</v>
      </c>
      <c r="E506" s="69" t="s">
        <v>185</v>
      </c>
      <c r="F506" s="69" t="s">
        <v>186</v>
      </c>
      <c r="G506" s="70" t="s">
        <v>156</v>
      </c>
      <c r="H506" s="69" t="s">
        <v>187</v>
      </c>
      <c r="I506" s="69" t="s">
        <v>188</v>
      </c>
      <c r="J506" s="69" t="s">
        <v>158</v>
      </c>
      <c r="K506" s="69" t="s">
        <v>159</v>
      </c>
      <c r="L506" s="69" t="s">
        <v>160</v>
      </c>
      <c r="M506" s="69" t="s">
        <v>161</v>
      </c>
      <c r="N506" s="69" t="s">
        <v>162</v>
      </c>
      <c r="O506" s="69" t="s">
        <v>163</v>
      </c>
      <c r="P506" s="69" t="s">
        <v>164</v>
      </c>
      <c r="Q506" s="69" t="s">
        <v>165</v>
      </c>
      <c r="R506" s="69" t="s">
        <v>166</v>
      </c>
      <c r="S506" s="69" t="s">
        <v>189</v>
      </c>
    </row>
    <row r="507" spans="1:19" x14ac:dyDescent="0.4">
      <c r="A507" s="57">
        <f>+A493+1</f>
        <v>37</v>
      </c>
      <c r="B507" s="57" t="str">
        <f>INDEX('sale resgister'!B:B,A507+1,1)</f>
        <v>PDL92917</v>
      </c>
      <c r="C507" s="71">
        <f>+VLOOKUP(B507,'sale resgister'!B:J,9,0)</f>
        <v>0</v>
      </c>
      <c r="D507" s="79" t="str">
        <f>+VLOOKUP(B507,'sale resgister'!B:J,2,0)</f>
        <v>Batch 3</v>
      </c>
      <c r="E507" s="96">
        <f>IF(C507=0,0,VLOOKUP(B507,'sale resgister'!B:J,4,0))</f>
        <v>0</v>
      </c>
      <c r="F507" s="71">
        <f>DATE(YEAR(C507),MONTH(C507)+1,1)</f>
        <v>32</v>
      </c>
      <c r="G507" s="72">
        <f>E507</f>
        <v>0</v>
      </c>
      <c r="H507" s="57">
        <f t="shared" ref="H507:H518" si="505">ROUND(+G507*$H$1,3)</f>
        <v>0</v>
      </c>
      <c r="I507" s="73">
        <f t="shared" ref="I507:I518" si="506">IFERROR(+VLOOKUP(F507,$W$3:$X$15,2,0),0)</f>
        <v>0</v>
      </c>
      <c r="J507" s="74">
        <v>22</v>
      </c>
      <c r="K507" s="57">
        <f t="shared" ref="K507:K518" si="507">ROUND(+H507*97%,3)</f>
        <v>0</v>
      </c>
      <c r="L507" s="75">
        <f t="shared" ref="L507:L518" si="508">(K507-H507*92%)*I507</f>
        <v>0</v>
      </c>
      <c r="M507" s="76">
        <f t="shared" ref="M507:M518" si="509">ROUND(I507*92%*H507,2)</f>
        <v>0</v>
      </c>
      <c r="N507" s="76">
        <f t="shared" ref="N507:N518" si="510">ROUND(+M507*0.11,2)</f>
        <v>0</v>
      </c>
      <c r="O507" s="77">
        <f t="shared" ref="O507:O518" si="511">+N507-L507</f>
        <v>0</v>
      </c>
      <c r="P507" s="77">
        <f t="shared" ref="P507:P518" si="512">ROUND(+O507*15%,2)</f>
        <v>0</v>
      </c>
      <c r="Q507" s="76">
        <f t="shared" ref="Q507:Q518" si="513">ROUND(+(O507-P507)*60%,2)</f>
        <v>0</v>
      </c>
      <c r="R507" s="76">
        <f t="shared" ref="R507:R518" si="514">ROUND(+(O507-P507)*40%,2)</f>
        <v>0</v>
      </c>
      <c r="S507" s="57">
        <f t="shared" ref="S507:S518" si="515">IFERROR(ROUND(+Q507/(I507/92%),3),0)</f>
        <v>0</v>
      </c>
    </row>
    <row r="508" spans="1:19" x14ac:dyDescent="0.4">
      <c r="A508" s="57"/>
      <c r="B508" s="57" t="str">
        <f t="shared" ref="B508:B518" si="516">+B507</f>
        <v>PDL92917</v>
      </c>
      <c r="C508" s="57"/>
      <c r="D508" s="57"/>
      <c r="E508" s="57"/>
      <c r="F508" s="71">
        <f t="shared" ref="F508:F518" si="517">IF(+DATE(YEAR(F507),MONTH(F507)+1,1)&gt;$G$1+1,0,+DATE(YEAR(F507),MONTH(F507)+1,1))</f>
        <v>61</v>
      </c>
      <c r="G508" s="72">
        <f t="shared" ref="G508:G518" si="518">ROUND(IF(F508=0,0,(G507+S507)),3)</f>
        <v>0</v>
      </c>
      <c r="H508" s="57">
        <f t="shared" si="505"/>
        <v>0</v>
      </c>
      <c r="I508" s="73">
        <f t="shared" si="506"/>
        <v>0</v>
      </c>
      <c r="J508" s="74">
        <v>22</v>
      </c>
      <c r="K508" s="57">
        <f t="shared" si="507"/>
        <v>0</v>
      </c>
      <c r="L508" s="75">
        <f t="shared" si="508"/>
        <v>0</v>
      </c>
      <c r="M508" s="76">
        <f t="shared" si="509"/>
        <v>0</v>
      </c>
      <c r="N508" s="76">
        <f t="shared" si="510"/>
        <v>0</v>
      </c>
      <c r="O508" s="77">
        <f t="shared" si="511"/>
        <v>0</v>
      </c>
      <c r="P508" s="77">
        <f t="shared" si="512"/>
        <v>0</v>
      </c>
      <c r="Q508" s="76">
        <f t="shared" si="513"/>
        <v>0</v>
      </c>
      <c r="R508" s="76">
        <f t="shared" si="514"/>
        <v>0</v>
      </c>
      <c r="S508" s="57">
        <f t="shared" si="515"/>
        <v>0</v>
      </c>
    </row>
    <row r="509" spans="1:19" x14ac:dyDescent="0.4">
      <c r="A509" s="57"/>
      <c r="B509" s="57" t="str">
        <f t="shared" si="516"/>
        <v>PDL92917</v>
      </c>
      <c r="C509" s="57"/>
      <c r="D509" s="57"/>
      <c r="E509" s="71"/>
      <c r="F509" s="71">
        <f t="shared" si="517"/>
        <v>92</v>
      </c>
      <c r="G509" s="72">
        <f t="shared" si="518"/>
        <v>0</v>
      </c>
      <c r="H509" s="57">
        <f t="shared" si="505"/>
        <v>0</v>
      </c>
      <c r="I509" s="73">
        <f t="shared" si="506"/>
        <v>0</v>
      </c>
      <c r="J509" s="74">
        <v>22</v>
      </c>
      <c r="K509" s="57">
        <f t="shared" si="507"/>
        <v>0</v>
      </c>
      <c r="L509" s="75">
        <f t="shared" si="508"/>
        <v>0</v>
      </c>
      <c r="M509" s="76">
        <f t="shared" si="509"/>
        <v>0</v>
      </c>
      <c r="N509" s="76">
        <f t="shared" si="510"/>
        <v>0</v>
      </c>
      <c r="O509" s="77">
        <f t="shared" si="511"/>
        <v>0</v>
      </c>
      <c r="P509" s="77">
        <f t="shared" si="512"/>
        <v>0</v>
      </c>
      <c r="Q509" s="76">
        <f t="shared" si="513"/>
        <v>0</v>
      </c>
      <c r="R509" s="76">
        <f t="shared" si="514"/>
        <v>0</v>
      </c>
      <c r="S509" s="57">
        <f t="shared" si="515"/>
        <v>0</v>
      </c>
    </row>
    <row r="510" spans="1:19" x14ac:dyDescent="0.4">
      <c r="A510" s="57"/>
      <c r="B510" s="57" t="str">
        <f t="shared" si="516"/>
        <v>PDL92917</v>
      </c>
      <c r="C510" s="57"/>
      <c r="D510" s="57"/>
      <c r="E510" s="57"/>
      <c r="F510" s="71">
        <f t="shared" si="517"/>
        <v>122</v>
      </c>
      <c r="G510" s="72">
        <f t="shared" si="518"/>
        <v>0</v>
      </c>
      <c r="H510" s="57">
        <f t="shared" si="505"/>
        <v>0</v>
      </c>
      <c r="I510" s="73">
        <f t="shared" si="506"/>
        <v>0</v>
      </c>
      <c r="J510" s="74">
        <v>22</v>
      </c>
      <c r="K510" s="57">
        <f t="shared" si="507"/>
        <v>0</v>
      </c>
      <c r="L510" s="75">
        <f t="shared" si="508"/>
        <v>0</v>
      </c>
      <c r="M510" s="76">
        <f t="shared" si="509"/>
        <v>0</v>
      </c>
      <c r="N510" s="76">
        <f t="shared" si="510"/>
        <v>0</v>
      </c>
      <c r="O510" s="77">
        <f t="shared" si="511"/>
        <v>0</v>
      </c>
      <c r="P510" s="77">
        <f t="shared" si="512"/>
        <v>0</v>
      </c>
      <c r="Q510" s="76">
        <f t="shared" si="513"/>
        <v>0</v>
      </c>
      <c r="R510" s="76">
        <f t="shared" si="514"/>
        <v>0</v>
      </c>
      <c r="S510" s="57">
        <f t="shared" si="515"/>
        <v>0</v>
      </c>
    </row>
    <row r="511" spans="1:19" x14ac:dyDescent="0.4">
      <c r="A511" s="57"/>
      <c r="B511" s="57" t="str">
        <f t="shared" si="516"/>
        <v>PDL92917</v>
      </c>
      <c r="C511" s="71"/>
      <c r="D511" s="57"/>
      <c r="E511" s="57"/>
      <c r="F511" s="71">
        <f t="shared" si="517"/>
        <v>153</v>
      </c>
      <c r="G511" s="72">
        <f t="shared" si="518"/>
        <v>0</v>
      </c>
      <c r="H511" s="57">
        <f t="shared" si="505"/>
        <v>0</v>
      </c>
      <c r="I511" s="73">
        <f t="shared" si="506"/>
        <v>0</v>
      </c>
      <c r="J511" s="74">
        <v>22</v>
      </c>
      <c r="K511" s="57">
        <f t="shared" si="507"/>
        <v>0</v>
      </c>
      <c r="L511" s="75">
        <f t="shared" si="508"/>
        <v>0</v>
      </c>
      <c r="M511" s="76">
        <f t="shared" si="509"/>
        <v>0</v>
      </c>
      <c r="N511" s="76">
        <f t="shared" si="510"/>
        <v>0</v>
      </c>
      <c r="O511" s="77">
        <f t="shared" si="511"/>
        <v>0</v>
      </c>
      <c r="P511" s="77">
        <f t="shared" si="512"/>
        <v>0</v>
      </c>
      <c r="Q511" s="76">
        <f t="shared" si="513"/>
        <v>0</v>
      </c>
      <c r="R511" s="76">
        <f t="shared" si="514"/>
        <v>0</v>
      </c>
      <c r="S511" s="57">
        <f t="shared" si="515"/>
        <v>0</v>
      </c>
    </row>
    <row r="512" spans="1:19" x14ac:dyDescent="0.4">
      <c r="A512" s="57"/>
      <c r="B512" s="57" t="str">
        <f t="shared" si="516"/>
        <v>PDL92917</v>
      </c>
      <c r="C512" s="57"/>
      <c r="D512" s="57"/>
      <c r="E512" s="57"/>
      <c r="F512" s="71">
        <f t="shared" si="517"/>
        <v>183</v>
      </c>
      <c r="G512" s="72">
        <f t="shared" si="518"/>
        <v>0</v>
      </c>
      <c r="H512" s="57">
        <f t="shared" si="505"/>
        <v>0</v>
      </c>
      <c r="I512" s="73">
        <f t="shared" si="506"/>
        <v>0</v>
      </c>
      <c r="J512" s="74">
        <v>22</v>
      </c>
      <c r="K512" s="57">
        <f t="shared" si="507"/>
        <v>0</v>
      </c>
      <c r="L512" s="75">
        <f t="shared" si="508"/>
        <v>0</v>
      </c>
      <c r="M512" s="76">
        <f t="shared" si="509"/>
        <v>0</v>
      </c>
      <c r="N512" s="76">
        <f t="shared" si="510"/>
        <v>0</v>
      </c>
      <c r="O512" s="77">
        <f t="shared" si="511"/>
        <v>0</v>
      </c>
      <c r="P512" s="77">
        <f t="shared" si="512"/>
        <v>0</v>
      </c>
      <c r="Q512" s="76">
        <f t="shared" si="513"/>
        <v>0</v>
      </c>
      <c r="R512" s="76">
        <f t="shared" si="514"/>
        <v>0</v>
      </c>
      <c r="S512" s="57">
        <f t="shared" si="515"/>
        <v>0</v>
      </c>
    </row>
    <row r="513" spans="1:19" x14ac:dyDescent="0.4">
      <c r="A513" s="57"/>
      <c r="B513" s="57" t="str">
        <f t="shared" si="516"/>
        <v>PDL92917</v>
      </c>
      <c r="C513" s="57"/>
      <c r="D513" s="57"/>
      <c r="E513" s="57"/>
      <c r="F513" s="71">
        <f t="shared" si="517"/>
        <v>214</v>
      </c>
      <c r="G513" s="72">
        <f t="shared" si="518"/>
        <v>0</v>
      </c>
      <c r="H513" s="57">
        <f t="shared" si="505"/>
        <v>0</v>
      </c>
      <c r="I513" s="73">
        <f t="shared" si="506"/>
        <v>0</v>
      </c>
      <c r="J513" s="74">
        <v>22</v>
      </c>
      <c r="K513" s="57">
        <f t="shared" si="507"/>
        <v>0</v>
      </c>
      <c r="L513" s="75">
        <f t="shared" si="508"/>
        <v>0</v>
      </c>
      <c r="M513" s="76">
        <f t="shared" si="509"/>
        <v>0</v>
      </c>
      <c r="N513" s="76">
        <f t="shared" si="510"/>
        <v>0</v>
      </c>
      <c r="O513" s="77">
        <f t="shared" si="511"/>
        <v>0</v>
      </c>
      <c r="P513" s="77">
        <f t="shared" si="512"/>
        <v>0</v>
      </c>
      <c r="Q513" s="76">
        <f t="shared" si="513"/>
        <v>0</v>
      </c>
      <c r="R513" s="76">
        <f t="shared" si="514"/>
        <v>0</v>
      </c>
      <c r="S513" s="57">
        <f t="shared" si="515"/>
        <v>0</v>
      </c>
    </row>
    <row r="514" spans="1:19" x14ac:dyDescent="0.4">
      <c r="A514" s="57"/>
      <c r="B514" s="57" t="str">
        <f t="shared" si="516"/>
        <v>PDL92917</v>
      </c>
      <c r="C514" s="57"/>
      <c r="D514" s="79"/>
      <c r="E514" s="57"/>
      <c r="F514" s="71">
        <f t="shared" si="517"/>
        <v>245</v>
      </c>
      <c r="G514" s="72">
        <f t="shared" si="518"/>
        <v>0</v>
      </c>
      <c r="H514" s="57">
        <f t="shared" si="505"/>
        <v>0</v>
      </c>
      <c r="I514" s="73">
        <f t="shared" si="506"/>
        <v>0</v>
      </c>
      <c r="J514" s="74">
        <v>22</v>
      </c>
      <c r="K514" s="57">
        <f t="shared" si="507"/>
        <v>0</v>
      </c>
      <c r="L514" s="75">
        <f t="shared" si="508"/>
        <v>0</v>
      </c>
      <c r="M514" s="76">
        <f t="shared" si="509"/>
        <v>0</v>
      </c>
      <c r="N514" s="76">
        <f t="shared" si="510"/>
        <v>0</v>
      </c>
      <c r="O514" s="77">
        <f t="shared" si="511"/>
        <v>0</v>
      </c>
      <c r="P514" s="77">
        <f t="shared" si="512"/>
        <v>0</v>
      </c>
      <c r="Q514" s="76">
        <f t="shared" si="513"/>
        <v>0</v>
      </c>
      <c r="R514" s="76">
        <f t="shared" si="514"/>
        <v>0</v>
      </c>
      <c r="S514" s="57">
        <f t="shared" si="515"/>
        <v>0</v>
      </c>
    </row>
    <row r="515" spans="1:19" x14ac:dyDescent="0.4">
      <c r="A515" s="57"/>
      <c r="B515" s="57" t="str">
        <f t="shared" si="516"/>
        <v>PDL92917</v>
      </c>
      <c r="C515" s="57"/>
      <c r="D515" s="79"/>
      <c r="E515" s="57"/>
      <c r="F515" s="71">
        <f t="shared" si="517"/>
        <v>275</v>
      </c>
      <c r="G515" s="72">
        <f t="shared" si="518"/>
        <v>0</v>
      </c>
      <c r="H515" s="57">
        <f t="shared" si="505"/>
        <v>0</v>
      </c>
      <c r="I515" s="73">
        <f t="shared" si="506"/>
        <v>0</v>
      </c>
      <c r="J515" s="74">
        <v>22</v>
      </c>
      <c r="K515" s="57">
        <f t="shared" si="507"/>
        <v>0</v>
      </c>
      <c r="L515" s="75">
        <f t="shared" si="508"/>
        <v>0</v>
      </c>
      <c r="M515" s="76">
        <f t="shared" si="509"/>
        <v>0</v>
      </c>
      <c r="N515" s="76">
        <f t="shared" si="510"/>
        <v>0</v>
      </c>
      <c r="O515" s="77">
        <f t="shared" si="511"/>
        <v>0</v>
      </c>
      <c r="P515" s="77">
        <f t="shared" si="512"/>
        <v>0</v>
      </c>
      <c r="Q515" s="76">
        <f t="shared" si="513"/>
        <v>0</v>
      </c>
      <c r="R515" s="76">
        <f t="shared" si="514"/>
        <v>0</v>
      </c>
      <c r="S515" s="57">
        <f t="shared" si="515"/>
        <v>0</v>
      </c>
    </row>
    <row r="516" spans="1:19" x14ac:dyDescent="0.4">
      <c r="A516" s="57"/>
      <c r="B516" s="57" t="str">
        <f t="shared" si="516"/>
        <v>PDL92917</v>
      </c>
      <c r="C516" s="57"/>
      <c r="D516" s="57"/>
      <c r="E516" s="57"/>
      <c r="F516" s="71">
        <f t="shared" si="517"/>
        <v>306</v>
      </c>
      <c r="G516" s="72">
        <f t="shared" si="518"/>
        <v>0</v>
      </c>
      <c r="H516" s="57">
        <f t="shared" si="505"/>
        <v>0</v>
      </c>
      <c r="I516" s="73">
        <f t="shared" si="506"/>
        <v>0</v>
      </c>
      <c r="J516" s="74">
        <v>22</v>
      </c>
      <c r="K516" s="57">
        <f t="shared" si="507"/>
        <v>0</v>
      </c>
      <c r="L516" s="75">
        <f t="shared" si="508"/>
        <v>0</v>
      </c>
      <c r="M516" s="76">
        <f t="shared" si="509"/>
        <v>0</v>
      </c>
      <c r="N516" s="76">
        <f t="shared" si="510"/>
        <v>0</v>
      </c>
      <c r="O516" s="77">
        <f t="shared" si="511"/>
        <v>0</v>
      </c>
      <c r="P516" s="77">
        <f t="shared" si="512"/>
        <v>0</v>
      </c>
      <c r="Q516" s="76">
        <f t="shared" si="513"/>
        <v>0</v>
      </c>
      <c r="R516" s="76">
        <f t="shared" si="514"/>
        <v>0</v>
      </c>
      <c r="S516" s="57">
        <f t="shared" si="515"/>
        <v>0</v>
      </c>
    </row>
    <row r="517" spans="1:19" x14ac:dyDescent="0.4">
      <c r="A517" s="57"/>
      <c r="B517" s="57" t="str">
        <f t="shared" si="516"/>
        <v>PDL92917</v>
      </c>
      <c r="C517" s="57"/>
      <c r="D517" s="57"/>
      <c r="E517" s="57"/>
      <c r="F517" s="71">
        <f t="shared" si="517"/>
        <v>336</v>
      </c>
      <c r="G517" s="72">
        <f t="shared" si="518"/>
        <v>0</v>
      </c>
      <c r="H517" s="57">
        <f t="shared" si="505"/>
        <v>0</v>
      </c>
      <c r="I517" s="73">
        <f t="shared" si="506"/>
        <v>0</v>
      </c>
      <c r="J517" s="74">
        <v>22</v>
      </c>
      <c r="K517" s="57">
        <f t="shared" si="507"/>
        <v>0</v>
      </c>
      <c r="L517" s="75">
        <f t="shared" si="508"/>
        <v>0</v>
      </c>
      <c r="M517" s="76">
        <f t="shared" si="509"/>
        <v>0</v>
      </c>
      <c r="N517" s="76">
        <f t="shared" si="510"/>
        <v>0</v>
      </c>
      <c r="O517" s="77">
        <f t="shared" si="511"/>
        <v>0</v>
      </c>
      <c r="P517" s="77">
        <f t="shared" si="512"/>
        <v>0</v>
      </c>
      <c r="Q517" s="76">
        <f t="shared" si="513"/>
        <v>0</v>
      </c>
      <c r="R517" s="76">
        <f t="shared" si="514"/>
        <v>0</v>
      </c>
      <c r="S517" s="57">
        <f t="shared" si="515"/>
        <v>0</v>
      </c>
    </row>
    <row r="518" spans="1:19" x14ac:dyDescent="0.4">
      <c r="A518" s="57"/>
      <c r="B518" s="57" t="str">
        <f t="shared" si="516"/>
        <v>PDL92917</v>
      </c>
      <c r="C518" s="57"/>
      <c r="D518" s="57"/>
      <c r="E518" s="57"/>
      <c r="F518" s="71">
        <f t="shared" si="517"/>
        <v>367</v>
      </c>
      <c r="G518" s="72">
        <f t="shared" si="518"/>
        <v>0</v>
      </c>
      <c r="H518" s="57">
        <f t="shared" si="505"/>
        <v>0</v>
      </c>
      <c r="I518" s="73">
        <f t="shared" si="506"/>
        <v>0</v>
      </c>
      <c r="J518" s="74">
        <v>22</v>
      </c>
      <c r="K518" s="57">
        <f t="shared" si="507"/>
        <v>0</v>
      </c>
      <c r="L518" s="75">
        <f t="shared" si="508"/>
        <v>0</v>
      </c>
      <c r="M518" s="76">
        <f t="shared" si="509"/>
        <v>0</v>
      </c>
      <c r="N518" s="76">
        <f t="shared" si="510"/>
        <v>0</v>
      </c>
      <c r="O518" s="77">
        <f t="shared" si="511"/>
        <v>0</v>
      </c>
      <c r="P518" s="77">
        <f t="shared" si="512"/>
        <v>0</v>
      </c>
      <c r="Q518" s="76">
        <f t="shared" si="513"/>
        <v>0</v>
      </c>
      <c r="R518" s="76">
        <f t="shared" si="514"/>
        <v>0</v>
      </c>
      <c r="S518" s="57">
        <f t="shared" si="515"/>
        <v>0</v>
      </c>
    </row>
    <row r="519" spans="1:19" x14ac:dyDescent="0.4">
      <c r="B519" s="57"/>
    </row>
    <row r="520" spans="1:19" ht="123" customHeight="1" x14ac:dyDescent="0.4">
      <c r="A520" s="69" t="s">
        <v>11</v>
      </c>
      <c r="B520" s="69" t="s">
        <v>11</v>
      </c>
      <c r="C520" s="69" t="s">
        <v>155</v>
      </c>
      <c r="D520" s="69" t="s">
        <v>158</v>
      </c>
      <c r="E520" s="69" t="s">
        <v>185</v>
      </c>
      <c r="F520" s="69" t="s">
        <v>186</v>
      </c>
      <c r="G520" s="70" t="s">
        <v>156</v>
      </c>
      <c r="H520" s="69" t="s">
        <v>187</v>
      </c>
      <c r="I520" s="69" t="s">
        <v>188</v>
      </c>
      <c r="J520" s="69" t="s">
        <v>158</v>
      </c>
      <c r="K520" s="69" t="s">
        <v>159</v>
      </c>
      <c r="L520" s="69" t="s">
        <v>160</v>
      </c>
      <c r="M520" s="69" t="s">
        <v>161</v>
      </c>
      <c r="N520" s="69" t="s">
        <v>162</v>
      </c>
      <c r="O520" s="69" t="s">
        <v>163</v>
      </c>
      <c r="P520" s="69" t="s">
        <v>164</v>
      </c>
      <c r="Q520" s="69" t="s">
        <v>165</v>
      </c>
      <c r="R520" s="69" t="s">
        <v>166</v>
      </c>
      <c r="S520" s="69" t="s">
        <v>189</v>
      </c>
    </row>
    <row r="521" spans="1:19" x14ac:dyDescent="0.4">
      <c r="A521" s="57">
        <f>+A507+1</f>
        <v>38</v>
      </c>
      <c r="B521" s="57" t="str">
        <f>INDEX('sale resgister'!B:B,A521+1,1)</f>
        <v>PDL92916</v>
      </c>
      <c r="C521" s="71">
        <f>+VLOOKUP(B521,'sale resgister'!B:J,9,0)</f>
        <v>46039</v>
      </c>
      <c r="D521" s="79" t="str">
        <f>+VLOOKUP(B521,'sale resgister'!B:J,2,0)</f>
        <v>Batch 3</v>
      </c>
      <c r="E521" s="96">
        <f>IF(C521=0,0,VLOOKUP(B521,'sale resgister'!B:J,4,0))</f>
        <v>2.093</v>
      </c>
      <c r="F521" s="71">
        <f>DATE(YEAR(C521),MONTH(C521)+1,1)</f>
        <v>46054</v>
      </c>
      <c r="G521" s="72">
        <f>E521</f>
        <v>2.093</v>
      </c>
      <c r="H521" s="57">
        <f t="shared" ref="H521:H532" si="519">ROUND(+G521*$H$1,3)</f>
        <v>0.14699999999999999</v>
      </c>
      <c r="I521" s="73">
        <f t="shared" ref="I521:I532" si="520">IFERROR(+VLOOKUP(F521,$W$3:$X$15,2,0),0)</f>
        <v>15760</v>
      </c>
      <c r="J521" s="74">
        <v>22</v>
      </c>
      <c r="K521" s="57">
        <f t="shared" ref="K521:K532" si="521">ROUND(+H521*97%,3)</f>
        <v>0.14299999999999999</v>
      </c>
      <c r="L521" s="75">
        <f t="shared" ref="L521:L532" si="522">(K521-H521*92%)*I521</f>
        <v>122.29759999999983</v>
      </c>
      <c r="M521" s="76">
        <f t="shared" ref="M521:M532" si="523">ROUND(I521*92%*H521,2)</f>
        <v>2131.38</v>
      </c>
      <c r="N521" s="76">
        <f t="shared" ref="N521:N532" si="524">ROUND(+M521*0.11,2)</f>
        <v>234.45</v>
      </c>
      <c r="O521" s="77">
        <f t="shared" ref="O521:O532" si="525">+N521-L521</f>
        <v>112.15240000000016</v>
      </c>
      <c r="P521" s="77">
        <f t="shared" ref="P521:P532" si="526">ROUND(+O521*15%,2)</f>
        <v>16.82</v>
      </c>
      <c r="Q521" s="76">
        <f t="shared" ref="Q521:Q532" si="527">ROUND(+(O521-P521)*60%,2)</f>
        <v>57.2</v>
      </c>
      <c r="R521" s="76">
        <f t="shared" ref="R521:R532" si="528">ROUND(+(O521-P521)*40%,2)</f>
        <v>38.130000000000003</v>
      </c>
      <c r="S521" s="57">
        <f t="shared" ref="S521:S532" si="529">IFERROR(ROUND(+Q521/(I521/92%),3),0)</f>
        <v>3.0000000000000001E-3</v>
      </c>
    </row>
    <row r="522" spans="1:19" x14ac:dyDescent="0.4">
      <c r="A522" s="57"/>
      <c r="B522" s="57" t="str">
        <f t="shared" ref="B522:B532" si="530">+B521</f>
        <v>PDL92916</v>
      </c>
      <c r="C522" s="57"/>
      <c r="D522" s="57"/>
      <c r="E522" s="57"/>
      <c r="F522" s="71">
        <f t="shared" ref="F522:F532" si="531">IF(+DATE(YEAR(F521),MONTH(F521)+1,1)&gt;$G$1+1,0,+DATE(YEAR(F521),MONTH(F521)+1,1))</f>
        <v>46082</v>
      </c>
      <c r="G522" s="72">
        <f t="shared" ref="G522:G532" si="532">ROUND(IF(F522=0,0,(G521+S521)),3)</f>
        <v>2.0960000000000001</v>
      </c>
      <c r="H522" s="57">
        <f t="shared" si="519"/>
        <v>0.14699999999999999</v>
      </c>
      <c r="I522" s="73">
        <f t="shared" si="520"/>
        <v>17200</v>
      </c>
      <c r="J522" s="74">
        <v>22</v>
      </c>
      <c r="K522" s="57">
        <f t="shared" si="521"/>
        <v>0.14299999999999999</v>
      </c>
      <c r="L522" s="75">
        <f t="shared" si="522"/>
        <v>133.47199999999981</v>
      </c>
      <c r="M522" s="76">
        <f t="shared" si="523"/>
        <v>2326.13</v>
      </c>
      <c r="N522" s="76">
        <f t="shared" si="524"/>
        <v>255.87</v>
      </c>
      <c r="O522" s="77">
        <f t="shared" si="525"/>
        <v>122.3980000000002</v>
      </c>
      <c r="P522" s="77">
        <f t="shared" si="526"/>
        <v>18.36</v>
      </c>
      <c r="Q522" s="76">
        <f t="shared" si="527"/>
        <v>62.42</v>
      </c>
      <c r="R522" s="76">
        <f t="shared" si="528"/>
        <v>41.62</v>
      </c>
      <c r="S522" s="57">
        <f t="shared" si="529"/>
        <v>3.0000000000000001E-3</v>
      </c>
    </row>
    <row r="523" spans="1:19" x14ac:dyDescent="0.4">
      <c r="A523" s="57"/>
      <c r="B523" s="57" t="str">
        <f t="shared" si="530"/>
        <v>PDL92916</v>
      </c>
      <c r="C523" s="57"/>
      <c r="D523" s="57"/>
      <c r="E523" s="71"/>
      <c r="F523" s="71">
        <f t="shared" si="531"/>
        <v>46113</v>
      </c>
      <c r="G523" s="72">
        <f t="shared" si="532"/>
        <v>2.0990000000000002</v>
      </c>
      <c r="H523" s="57">
        <f t="shared" si="519"/>
        <v>0.14699999999999999</v>
      </c>
      <c r="I523" s="73">
        <f t="shared" si="520"/>
        <v>15450</v>
      </c>
      <c r="J523" s="74">
        <v>22</v>
      </c>
      <c r="K523" s="57">
        <f t="shared" si="521"/>
        <v>0.14299999999999999</v>
      </c>
      <c r="L523" s="75">
        <f t="shared" si="522"/>
        <v>119.89199999999983</v>
      </c>
      <c r="M523" s="76">
        <f t="shared" si="523"/>
        <v>2089.46</v>
      </c>
      <c r="N523" s="76">
        <f t="shared" si="524"/>
        <v>229.84</v>
      </c>
      <c r="O523" s="77">
        <f t="shared" si="525"/>
        <v>109.94800000000018</v>
      </c>
      <c r="P523" s="77">
        <f t="shared" si="526"/>
        <v>16.489999999999998</v>
      </c>
      <c r="Q523" s="76">
        <f t="shared" si="527"/>
        <v>56.07</v>
      </c>
      <c r="R523" s="76">
        <f t="shared" si="528"/>
        <v>37.380000000000003</v>
      </c>
      <c r="S523" s="57">
        <f t="shared" si="529"/>
        <v>3.0000000000000001E-3</v>
      </c>
    </row>
    <row r="524" spans="1:19" x14ac:dyDescent="0.4">
      <c r="A524" s="57"/>
      <c r="B524" s="57" t="str">
        <f t="shared" si="530"/>
        <v>PDL92916</v>
      </c>
      <c r="C524" s="57"/>
      <c r="D524" s="57"/>
      <c r="E524" s="57"/>
      <c r="F524" s="71">
        <f t="shared" si="531"/>
        <v>0</v>
      </c>
      <c r="G524" s="72">
        <f t="shared" si="532"/>
        <v>0</v>
      </c>
      <c r="H524" s="57">
        <f t="shared" si="519"/>
        <v>0</v>
      </c>
      <c r="I524" s="73">
        <f t="shared" si="520"/>
        <v>0</v>
      </c>
      <c r="J524" s="74">
        <v>22</v>
      </c>
      <c r="K524" s="57">
        <f t="shared" si="521"/>
        <v>0</v>
      </c>
      <c r="L524" s="75">
        <f t="shared" si="522"/>
        <v>0</v>
      </c>
      <c r="M524" s="76">
        <f t="shared" si="523"/>
        <v>0</v>
      </c>
      <c r="N524" s="76">
        <f t="shared" si="524"/>
        <v>0</v>
      </c>
      <c r="O524" s="77">
        <f t="shared" si="525"/>
        <v>0</v>
      </c>
      <c r="P524" s="77">
        <f t="shared" si="526"/>
        <v>0</v>
      </c>
      <c r="Q524" s="76">
        <f t="shared" si="527"/>
        <v>0</v>
      </c>
      <c r="R524" s="76">
        <f t="shared" si="528"/>
        <v>0</v>
      </c>
      <c r="S524" s="57">
        <f t="shared" si="529"/>
        <v>0</v>
      </c>
    </row>
    <row r="525" spans="1:19" x14ac:dyDescent="0.4">
      <c r="A525" s="57"/>
      <c r="B525" s="57" t="str">
        <f t="shared" si="530"/>
        <v>PDL92916</v>
      </c>
      <c r="C525" s="71"/>
      <c r="D525" s="57"/>
      <c r="E525" s="57"/>
      <c r="F525" s="71">
        <f t="shared" si="531"/>
        <v>32</v>
      </c>
      <c r="G525" s="72">
        <f t="shared" si="532"/>
        <v>0</v>
      </c>
      <c r="H525" s="57">
        <f t="shared" si="519"/>
        <v>0</v>
      </c>
      <c r="I525" s="73">
        <f t="shared" si="520"/>
        <v>0</v>
      </c>
      <c r="J525" s="74">
        <v>22</v>
      </c>
      <c r="K525" s="57">
        <f t="shared" si="521"/>
        <v>0</v>
      </c>
      <c r="L525" s="75">
        <f t="shared" si="522"/>
        <v>0</v>
      </c>
      <c r="M525" s="76">
        <f t="shared" si="523"/>
        <v>0</v>
      </c>
      <c r="N525" s="76">
        <f t="shared" si="524"/>
        <v>0</v>
      </c>
      <c r="O525" s="77">
        <f t="shared" si="525"/>
        <v>0</v>
      </c>
      <c r="P525" s="77">
        <f t="shared" si="526"/>
        <v>0</v>
      </c>
      <c r="Q525" s="76">
        <f t="shared" si="527"/>
        <v>0</v>
      </c>
      <c r="R525" s="76">
        <f t="shared" si="528"/>
        <v>0</v>
      </c>
      <c r="S525" s="57">
        <f t="shared" si="529"/>
        <v>0</v>
      </c>
    </row>
    <row r="526" spans="1:19" x14ac:dyDescent="0.4">
      <c r="A526" s="57"/>
      <c r="B526" s="57" t="str">
        <f t="shared" si="530"/>
        <v>PDL92916</v>
      </c>
      <c r="C526" s="57"/>
      <c r="D526" s="57"/>
      <c r="E526" s="57"/>
      <c r="F526" s="71">
        <f t="shared" si="531"/>
        <v>61</v>
      </c>
      <c r="G526" s="72">
        <f t="shared" si="532"/>
        <v>0</v>
      </c>
      <c r="H526" s="57">
        <f t="shared" si="519"/>
        <v>0</v>
      </c>
      <c r="I526" s="73">
        <f t="shared" si="520"/>
        <v>0</v>
      </c>
      <c r="J526" s="74">
        <v>22</v>
      </c>
      <c r="K526" s="57">
        <f t="shared" si="521"/>
        <v>0</v>
      </c>
      <c r="L526" s="75">
        <f t="shared" si="522"/>
        <v>0</v>
      </c>
      <c r="M526" s="76">
        <f t="shared" si="523"/>
        <v>0</v>
      </c>
      <c r="N526" s="76">
        <f t="shared" si="524"/>
        <v>0</v>
      </c>
      <c r="O526" s="77">
        <f t="shared" si="525"/>
        <v>0</v>
      </c>
      <c r="P526" s="77">
        <f t="shared" si="526"/>
        <v>0</v>
      </c>
      <c r="Q526" s="76">
        <f t="shared" si="527"/>
        <v>0</v>
      </c>
      <c r="R526" s="76">
        <f t="shared" si="528"/>
        <v>0</v>
      </c>
      <c r="S526" s="57">
        <f t="shared" si="529"/>
        <v>0</v>
      </c>
    </row>
    <row r="527" spans="1:19" x14ac:dyDescent="0.4">
      <c r="A527" s="57"/>
      <c r="B527" s="57" t="str">
        <f t="shared" si="530"/>
        <v>PDL92916</v>
      </c>
      <c r="C527" s="57"/>
      <c r="D527" s="57"/>
      <c r="E527" s="57"/>
      <c r="F527" s="71">
        <f t="shared" si="531"/>
        <v>92</v>
      </c>
      <c r="G527" s="72">
        <f t="shared" si="532"/>
        <v>0</v>
      </c>
      <c r="H527" s="57">
        <f t="shared" si="519"/>
        <v>0</v>
      </c>
      <c r="I527" s="73">
        <f t="shared" si="520"/>
        <v>0</v>
      </c>
      <c r="J527" s="74">
        <v>22</v>
      </c>
      <c r="K527" s="57">
        <f t="shared" si="521"/>
        <v>0</v>
      </c>
      <c r="L527" s="75">
        <f t="shared" si="522"/>
        <v>0</v>
      </c>
      <c r="M527" s="76">
        <f t="shared" si="523"/>
        <v>0</v>
      </c>
      <c r="N527" s="76">
        <f t="shared" si="524"/>
        <v>0</v>
      </c>
      <c r="O527" s="77">
        <f t="shared" si="525"/>
        <v>0</v>
      </c>
      <c r="P527" s="77">
        <f t="shared" si="526"/>
        <v>0</v>
      </c>
      <c r="Q527" s="76">
        <f t="shared" si="527"/>
        <v>0</v>
      </c>
      <c r="R527" s="76">
        <f t="shared" si="528"/>
        <v>0</v>
      </c>
      <c r="S527" s="57">
        <f t="shared" si="529"/>
        <v>0</v>
      </c>
    </row>
    <row r="528" spans="1:19" x14ac:dyDescent="0.4">
      <c r="A528" s="57"/>
      <c r="B528" s="57" t="str">
        <f t="shared" si="530"/>
        <v>PDL92916</v>
      </c>
      <c r="C528" s="57"/>
      <c r="D528" s="79"/>
      <c r="E528" s="57"/>
      <c r="F528" s="71">
        <f t="shared" si="531"/>
        <v>122</v>
      </c>
      <c r="G528" s="72">
        <f t="shared" si="532"/>
        <v>0</v>
      </c>
      <c r="H528" s="57">
        <f t="shared" si="519"/>
        <v>0</v>
      </c>
      <c r="I528" s="73">
        <f t="shared" si="520"/>
        <v>0</v>
      </c>
      <c r="J528" s="74">
        <v>22</v>
      </c>
      <c r="K528" s="57">
        <f t="shared" si="521"/>
        <v>0</v>
      </c>
      <c r="L528" s="75">
        <f t="shared" si="522"/>
        <v>0</v>
      </c>
      <c r="M528" s="76">
        <f t="shared" si="523"/>
        <v>0</v>
      </c>
      <c r="N528" s="76">
        <f t="shared" si="524"/>
        <v>0</v>
      </c>
      <c r="O528" s="77">
        <f t="shared" si="525"/>
        <v>0</v>
      </c>
      <c r="P528" s="77">
        <f t="shared" si="526"/>
        <v>0</v>
      </c>
      <c r="Q528" s="76">
        <f t="shared" si="527"/>
        <v>0</v>
      </c>
      <c r="R528" s="76">
        <f t="shared" si="528"/>
        <v>0</v>
      </c>
      <c r="S528" s="57">
        <f t="shared" si="529"/>
        <v>0</v>
      </c>
    </row>
    <row r="529" spans="1:19" x14ac:dyDescent="0.4">
      <c r="A529" s="57"/>
      <c r="B529" s="57" t="str">
        <f t="shared" si="530"/>
        <v>PDL92916</v>
      </c>
      <c r="C529" s="57"/>
      <c r="D529" s="79"/>
      <c r="E529" s="57"/>
      <c r="F529" s="71">
        <f t="shared" si="531"/>
        <v>153</v>
      </c>
      <c r="G529" s="72">
        <f t="shared" si="532"/>
        <v>0</v>
      </c>
      <c r="H529" s="57">
        <f t="shared" si="519"/>
        <v>0</v>
      </c>
      <c r="I529" s="73">
        <f t="shared" si="520"/>
        <v>0</v>
      </c>
      <c r="J529" s="74">
        <v>22</v>
      </c>
      <c r="K529" s="57">
        <f t="shared" si="521"/>
        <v>0</v>
      </c>
      <c r="L529" s="75">
        <f t="shared" si="522"/>
        <v>0</v>
      </c>
      <c r="M529" s="76">
        <f t="shared" si="523"/>
        <v>0</v>
      </c>
      <c r="N529" s="76">
        <f t="shared" si="524"/>
        <v>0</v>
      </c>
      <c r="O529" s="77">
        <f t="shared" si="525"/>
        <v>0</v>
      </c>
      <c r="P529" s="77">
        <f t="shared" si="526"/>
        <v>0</v>
      </c>
      <c r="Q529" s="76">
        <f t="shared" si="527"/>
        <v>0</v>
      </c>
      <c r="R529" s="76">
        <f t="shared" si="528"/>
        <v>0</v>
      </c>
      <c r="S529" s="57">
        <f t="shared" si="529"/>
        <v>0</v>
      </c>
    </row>
    <row r="530" spans="1:19" x14ac:dyDescent="0.4">
      <c r="A530" s="57"/>
      <c r="B530" s="57" t="str">
        <f t="shared" si="530"/>
        <v>PDL92916</v>
      </c>
      <c r="C530" s="57"/>
      <c r="D530" s="57"/>
      <c r="E530" s="57"/>
      <c r="F530" s="71">
        <f t="shared" si="531"/>
        <v>183</v>
      </c>
      <c r="G530" s="72">
        <f t="shared" si="532"/>
        <v>0</v>
      </c>
      <c r="H530" s="57">
        <f t="shared" si="519"/>
        <v>0</v>
      </c>
      <c r="I530" s="73">
        <f t="shared" si="520"/>
        <v>0</v>
      </c>
      <c r="J530" s="74">
        <v>22</v>
      </c>
      <c r="K530" s="57">
        <f t="shared" si="521"/>
        <v>0</v>
      </c>
      <c r="L530" s="75">
        <f t="shared" si="522"/>
        <v>0</v>
      </c>
      <c r="M530" s="76">
        <f t="shared" si="523"/>
        <v>0</v>
      </c>
      <c r="N530" s="76">
        <f t="shared" si="524"/>
        <v>0</v>
      </c>
      <c r="O530" s="77">
        <f t="shared" si="525"/>
        <v>0</v>
      </c>
      <c r="P530" s="77">
        <f t="shared" si="526"/>
        <v>0</v>
      </c>
      <c r="Q530" s="76">
        <f t="shared" si="527"/>
        <v>0</v>
      </c>
      <c r="R530" s="76">
        <f t="shared" si="528"/>
        <v>0</v>
      </c>
      <c r="S530" s="57">
        <f t="shared" si="529"/>
        <v>0</v>
      </c>
    </row>
    <row r="531" spans="1:19" x14ac:dyDescent="0.4">
      <c r="A531" s="57"/>
      <c r="B531" s="57" t="str">
        <f t="shared" si="530"/>
        <v>PDL92916</v>
      </c>
      <c r="C531" s="57"/>
      <c r="D531" s="57"/>
      <c r="E531" s="57"/>
      <c r="F531" s="71">
        <f t="shared" si="531"/>
        <v>214</v>
      </c>
      <c r="G531" s="72">
        <f t="shared" si="532"/>
        <v>0</v>
      </c>
      <c r="H531" s="57">
        <f t="shared" si="519"/>
        <v>0</v>
      </c>
      <c r="I531" s="73">
        <f t="shared" si="520"/>
        <v>0</v>
      </c>
      <c r="J531" s="74">
        <v>22</v>
      </c>
      <c r="K531" s="57">
        <f t="shared" si="521"/>
        <v>0</v>
      </c>
      <c r="L531" s="75">
        <f t="shared" si="522"/>
        <v>0</v>
      </c>
      <c r="M531" s="76">
        <f t="shared" si="523"/>
        <v>0</v>
      </c>
      <c r="N531" s="76">
        <f t="shared" si="524"/>
        <v>0</v>
      </c>
      <c r="O531" s="77">
        <f t="shared" si="525"/>
        <v>0</v>
      </c>
      <c r="P531" s="77">
        <f t="shared" si="526"/>
        <v>0</v>
      </c>
      <c r="Q531" s="76">
        <f t="shared" si="527"/>
        <v>0</v>
      </c>
      <c r="R531" s="76">
        <f t="shared" si="528"/>
        <v>0</v>
      </c>
      <c r="S531" s="57">
        <f t="shared" si="529"/>
        <v>0</v>
      </c>
    </row>
    <row r="532" spans="1:19" x14ac:dyDescent="0.4">
      <c r="A532" s="57"/>
      <c r="B532" s="57" t="str">
        <f t="shared" si="530"/>
        <v>PDL92916</v>
      </c>
      <c r="C532" s="57"/>
      <c r="D532" s="57"/>
      <c r="E532" s="57"/>
      <c r="F532" s="71">
        <f t="shared" si="531"/>
        <v>245</v>
      </c>
      <c r="G532" s="72">
        <f t="shared" si="532"/>
        <v>0</v>
      </c>
      <c r="H532" s="57">
        <f t="shared" si="519"/>
        <v>0</v>
      </c>
      <c r="I532" s="73">
        <f t="shared" si="520"/>
        <v>0</v>
      </c>
      <c r="J532" s="74">
        <v>22</v>
      </c>
      <c r="K532" s="57">
        <f t="shared" si="521"/>
        <v>0</v>
      </c>
      <c r="L532" s="75">
        <f t="shared" si="522"/>
        <v>0</v>
      </c>
      <c r="M532" s="76">
        <f t="shared" si="523"/>
        <v>0</v>
      </c>
      <c r="N532" s="76">
        <f t="shared" si="524"/>
        <v>0</v>
      </c>
      <c r="O532" s="77">
        <f t="shared" si="525"/>
        <v>0</v>
      </c>
      <c r="P532" s="77">
        <f t="shared" si="526"/>
        <v>0</v>
      </c>
      <c r="Q532" s="76">
        <f t="shared" si="527"/>
        <v>0</v>
      </c>
      <c r="R532" s="76">
        <f t="shared" si="528"/>
        <v>0</v>
      </c>
      <c r="S532" s="57">
        <f t="shared" si="529"/>
        <v>0</v>
      </c>
    </row>
    <row r="533" spans="1:19" x14ac:dyDescent="0.4">
      <c r="B533" s="57"/>
    </row>
    <row r="534" spans="1:19" ht="123" customHeight="1" x14ac:dyDescent="0.4">
      <c r="A534" s="69" t="s">
        <v>11</v>
      </c>
      <c r="B534" s="69" t="s">
        <v>11</v>
      </c>
      <c r="C534" s="69" t="s">
        <v>155</v>
      </c>
      <c r="D534" s="69" t="s">
        <v>158</v>
      </c>
      <c r="E534" s="69" t="s">
        <v>185</v>
      </c>
      <c r="F534" s="69" t="s">
        <v>186</v>
      </c>
      <c r="G534" s="70" t="s">
        <v>156</v>
      </c>
      <c r="H534" s="69" t="s">
        <v>187</v>
      </c>
      <c r="I534" s="69" t="s">
        <v>188</v>
      </c>
      <c r="J534" s="69" t="s">
        <v>158</v>
      </c>
      <c r="K534" s="69" t="s">
        <v>159</v>
      </c>
      <c r="L534" s="69" t="s">
        <v>160</v>
      </c>
      <c r="M534" s="69" t="s">
        <v>161</v>
      </c>
      <c r="N534" s="69" t="s">
        <v>162</v>
      </c>
      <c r="O534" s="69" t="s">
        <v>163</v>
      </c>
      <c r="P534" s="69" t="s">
        <v>164</v>
      </c>
      <c r="Q534" s="69" t="s">
        <v>165</v>
      </c>
      <c r="R534" s="69" t="s">
        <v>166</v>
      </c>
      <c r="S534" s="69" t="s">
        <v>189</v>
      </c>
    </row>
    <row r="535" spans="1:19" x14ac:dyDescent="0.4">
      <c r="A535" s="57">
        <f>+A521+1</f>
        <v>39</v>
      </c>
      <c r="B535" s="57" t="str">
        <f>INDEX('sale resgister'!B:B,A535+1,1)</f>
        <v>PDL92915</v>
      </c>
      <c r="C535" s="71">
        <f>+VLOOKUP(B535,'sale resgister'!B:J,9,0)</f>
        <v>0</v>
      </c>
      <c r="D535" s="79" t="str">
        <f>+VLOOKUP(B535,'sale resgister'!B:J,2,0)</f>
        <v>Batch 3</v>
      </c>
      <c r="E535" s="96">
        <f>IF(C535=0,0,VLOOKUP(B535,'sale resgister'!B:J,4,0))</f>
        <v>0</v>
      </c>
      <c r="F535" s="71">
        <f>DATE(YEAR(C535),MONTH(C535)+1,1)</f>
        <v>32</v>
      </c>
      <c r="G535" s="72">
        <f>E535</f>
        <v>0</v>
      </c>
      <c r="H535" s="57">
        <f t="shared" ref="H535:H546" si="533">ROUND(+G535*$H$1,3)</f>
        <v>0</v>
      </c>
      <c r="I535" s="73">
        <f t="shared" ref="I535:I546" si="534">IFERROR(+VLOOKUP(F535,$W$3:$X$15,2,0),0)</f>
        <v>0</v>
      </c>
      <c r="J535" s="74">
        <v>22</v>
      </c>
      <c r="K535" s="57">
        <f t="shared" ref="K535:K546" si="535">ROUND(+H535*97%,3)</f>
        <v>0</v>
      </c>
      <c r="L535" s="75">
        <f t="shared" ref="L535:L546" si="536">(K535-H535*92%)*I535</f>
        <v>0</v>
      </c>
      <c r="M535" s="76">
        <f t="shared" ref="M535:M546" si="537">ROUND(I535*92%*H535,2)</f>
        <v>0</v>
      </c>
      <c r="N535" s="76">
        <f t="shared" ref="N535:N546" si="538">ROUND(+M535*0.11,2)</f>
        <v>0</v>
      </c>
      <c r="O535" s="77">
        <f t="shared" ref="O535:O546" si="539">+N535-L535</f>
        <v>0</v>
      </c>
      <c r="P535" s="77">
        <f t="shared" ref="P535:P546" si="540">ROUND(+O535*15%,2)</f>
        <v>0</v>
      </c>
      <c r="Q535" s="76">
        <f t="shared" ref="Q535:Q546" si="541">ROUND(+(O535-P535)*60%,2)</f>
        <v>0</v>
      </c>
      <c r="R535" s="76">
        <f t="shared" ref="R535:R546" si="542">ROUND(+(O535-P535)*40%,2)</f>
        <v>0</v>
      </c>
      <c r="S535" s="57">
        <f t="shared" ref="S535:S546" si="543">IFERROR(ROUND(+Q535/(I535/92%),3),0)</f>
        <v>0</v>
      </c>
    </row>
    <row r="536" spans="1:19" x14ac:dyDescent="0.4">
      <c r="A536" s="57"/>
      <c r="B536" s="57" t="str">
        <f t="shared" ref="B536:B546" si="544">+B535</f>
        <v>PDL92915</v>
      </c>
      <c r="C536" s="57"/>
      <c r="D536" s="57"/>
      <c r="E536" s="57"/>
      <c r="F536" s="71">
        <f t="shared" ref="F536:F546" si="545">IF(+DATE(YEAR(F535),MONTH(F535)+1,1)&gt;$G$1+1,0,+DATE(YEAR(F535),MONTH(F535)+1,1))</f>
        <v>61</v>
      </c>
      <c r="G536" s="72">
        <f t="shared" ref="G536:G546" si="546">ROUND(IF(F536=0,0,(G535+S535)),3)</f>
        <v>0</v>
      </c>
      <c r="H536" s="57">
        <f t="shared" si="533"/>
        <v>0</v>
      </c>
      <c r="I536" s="73">
        <f t="shared" si="534"/>
        <v>0</v>
      </c>
      <c r="J536" s="74">
        <v>22</v>
      </c>
      <c r="K536" s="57">
        <f t="shared" si="535"/>
        <v>0</v>
      </c>
      <c r="L536" s="75">
        <f t="shared" si="536"/>
        <v>0</v>
      </c>
      <c r="M536" s="76">
        <f t="shared" si="537"/>
        <v>0</v>
      </c>
      <c r="N536" s="76">
        <f t="shared" si="538"/>
        <v>0</v>
      </c>
      <c r="O536" s="77">
        <f t="shared" si="539"/>
        <v>0</v>
      </c>
      <c r="P536" s="77">
        <f t="shared" si="540"/>
        <v>0</v>
      </c>
      <c r="Q536" s="76">
        <f t="shared" si="541"/>
        <v>0</v>
      </c>
      <c r="R536" s="76">
        <f t="shared" si="542"/>
        <v>0</v>
      </c>
      <c r="S536" s="57">
        <f t="shared" si="543"/>
        <v>0</v>
      </c>
    </row>
    <row r="537" spans="1:19" x14ac:dyDescent="0.4">
      <c r="A537" s="57"/>
      <c r="B537" s="57" t="str">
        <f t="shared" si="544"/>
        <v>PDL92915</v>
      </c>
      <c r="C537" s="57"/>
      <c r="D537" s="57"/>
      <c r="E537" s="71"/>
      <c r="F537" s="71">
        <f t="shared" si="545"/>
        <v>92</v>
      </c>
      <c r="G537" s="72">
        <f t="shared" si="546"/>
        <v>0</v>
      </c>
      <c r="H537" s="57">
        <f t="shared" si="533"/>
        <v>0</v>
      </c>
      <c r="I537" s="73">
        <f t="shared" si="534"/>
        <v>0</v>
      </c>
      <c r="J537" s="74">
        <v>22</v>
      </c>
      <c r="K537" s="57">
        <f t="shared" si="535"/>
        <v>0</v>
      </c>
      <c r="L537" s="75">
        <f t="shared" si="536"/>
        <v>0</v>
      </c>
      <c r="M537" s="76">
        <f t="shared" si="537"/>
        <v>0</v>
      </c>
      <c r="N537" s="76">
        <f t="shared" si="538"/>
        <v>0</v>
      </c>
      <c r="O537" s="77">
        <f t="shared" si="539"/>
        <v>0</v>
      </c>
      <c r="P537" s="77">
        <f t="shared" si="540"/>
        <v>0</v>
      </c>
      <c r="Q537" s="76">
        <f t="shared" si="541"/>
        <v>0</v>
      </c>
      <c r="R537" s="76">
        <f t="shared" si="542"/>
        <v>0</v>
      </c>
      <c r="S537" s="57">
        <f t="shared" si="543"/>
        <v>0</v>
      </c>
    </row>
    <row r="538" spans="1:19" x14ac:dyDescent="0.4">
      <c r="A538" s="57"/>
      <c r="B538" s="57" t="str">
        <f t="shared" si="544"/>
        <v>PDL92915</v>
      </c>
      <c r="C538" s="57"/>
      <c r="D538" s="57"/>
      <c r="E538" s="57"/>
      <c r="F538" s="71">
        <f t="shared" si="545"/>
        <v>122</v>
      </c>
      <c r="G538" s="72">
        <f t="shared" si="546"/>
        <v>0</v>
      </c>
      <c r="H538" s="57">
        <f t="shared" si="533"/>
        <v>0</v>
      </c>
      <c r="I538" s="73">
        <f t="shared" si="534"/>
        <v>0</v>
      </c>
      <c r="J538" s="74">
        <v>22</v>
      </c>
      <c r="K538" s="57">
        <f t="shared" si="535"/>
        <v>0</v>
      </c>
      <c r="L538" s="75">
        <f t="shared" si="536"/>
        <v>0</v>
      </c>
      <c r="M538" s="76">
        <f t="shared" si="537"/>
        <v>0</v>
      </c>
      <c r="N538" s="76">
        <f t="shared" si="538"/>
        <v>0</v>
      </c>
      <c r="O538" s="77">
        <f t="shared" si="539"/>
        <v>0</v>
      </c>
      <c r="P538" s="77">
        <f t="shared" si="540"/>
        <v>0</v>
      </c>
      <c r="Q538" s="76">
        <f t="shared" si="541"/>
        <v>0</v>
      </c>
      <c r="R538" s="76">
        <f t="shared" si="542"/>
        <v>0</v>
      </c>
      <c r="S538" s="57">
        <f t="shared" si="543"/>
        <v>0</v>
      </c>
    </row>
    <row r="539" spans="1:19" x14ac:dyDescent="0.4">
      <c r="A539" s="57"/>
      <c r="B539" s="57" t="str">
        <f t="shared" si="544"/>
        <v>PDL92915</v>
      </c>
      <c r="C539" s="71"/>
      <c r="D539" s="57"/>
      <c r="E539" s="57"/>
      <c r="F539" s="71">
        <f t="shared" si="545"/>
        <v>153</v>
      </c>
      <c r="G539" s="72">
        <f t="shared" si="546"/>
        <v>0</v>
      </c>
      <c r="H539" s="57">
        <f t="shared" si="533"/>
        <v>0</v>
      </c>
      <c r="I539" s="73">
        <f t="shared" si="534"/>
        <v>0</v>
      </c>
      <c r="J539" s="74">
        <v>22</v>
      </c>
      <c r="K539" s="57">
        <f t="shared" si="535"/>
        <v>0</v>
      </c>
      <c r="L539" s="75">
        <f t="shared" si="536"/>
        <v>0</v>
      </c>
      <c r="M539" s="76">
        <f t="shared" si="537"/>
        <v>0</v>
      </c>
      <c r="N539" s="76">
        <f t="shared" si="538"/>
        <v>0</v>
      </c>
      <c r="O539" s="77">
        <f t="shared" si="539"/>
        <v>0</v>
      </c>
      <c r="P539" s="77">
        <f t="shared" si="540"/>
        <v>0</v>
      </c>
      <c r="Q539" s="76">
        <f t="shared" si="541"/>
        <v>0</v>
      </c>
      <c r="R539" s="76">
        <f t="shared" si="542"/>
        <v>0</v>
      </c>
      <c r="S539" s="57">
        <f t="shared" si="543"/>
        <v>0</v>
      </c>
    </row>
    <row r="540" spans="1:19" x14ac:dyDescent="0.4">
      <c r="A540" s="57"/>
      <c r="B540" s="57" t="str">
        <f t="shared" si="544"/>
        <v>PDL92915</v>
      </c>
      <c r="C540" s="57"/>
      <c r="D540" s="57"/>
      <c r="E540" s="57"/>
      <c r="F540" s="71">
        <f t="shared" si="545"/>
        <v>183</v>
      </c>
      <c r="G540" s="72">
        <f t="shared" si="546"/>
        <v>0</v>
      </c>
      <c r="H540" s="57">
        <f t="shared" si="533"/>
        <v>0</v>
      </c>
      <c r="I540" s="73">
        <f t="shared" si="534"/>
        <v>0</v>
      </c>
      <c r="J540" s="74">
        <v>22</v>
      </c>
      <c r="K540" s="57">
        <f t="shared" si="535"/>
        <v>0</v>
      </c>
      <c r="L540" s="75">
        <f t="shared" si="536"/>
        <v>0</v>
      </c>
      <c r="M540" s="76">
        <f t="shared" si="537"/>
        <v>0</v>
      </c>
      <c r="N540" s="76">
        <f t="shared" si="538"/>
        <v>0</v>
      </c>
      <c r="O540" s="77">
        <f t="shared" si="539"/>
        <v>0</v>
      </c>
      <c r="P540" s="77">
        <f t="shared" si="540"/>
        <v>0</v>
      </c>
      <c r="Q540" s="76">
        <f t="shared" si="541"/>
        <v>0</v>
      </c>
      <c r="R540" s="76">
        <f t="shared" si="542"/>
        <v>0</v>
      </c>
      <c r="S540" s="57">
        <f t="shared" si="543"/>
        <v>0</v>
      </c>
    </row>
    <row r="541" spans="1:19" x14ac:dyDescent="0.4">
      <c r="A541" s="57"/>
      <c r="B541" s="57" t="str">
        <f t="shared" si="544"/>
        <v>PDL92915</v>
      </c>
      <c r="C541" s="57"/>
      <c r="D541" s="57"/>
      <c r="E541" s="57"/>
      <c r="F541" s="71">
        <f t="shared" si="545"/>
        <v>214</v>
      </c>
      <c r="G541" s="72">
        <f t="shared" si="546"/>
        <v>0</v>
      </c>
      <c r="H541" s="57">
        <f t="shared" si="533"/>
        <v>0</v>
      </c>
      <c r="I541" s="73">
        <f t="shared" si="534"/>
        <v>0</v>
      </c>
      <c r="J541" s="74">
        <v>22</v>
      </c>
      <c r="K541" s="57">
        <f t="shared" si="535"/>
        <v>0</v>
      </c>
      <c r="L541" s="75">
        <f t="shared" si="536"/>
        <v>0</v>
      </c>
      <c r="M541" s="76">
        <f t="shared" si="537"/>
        <v>0</v>
      </c>
      <c r="N541" s="76">
        <f t="shared" si="538"/>
        <v>0</v>
      </c>
      <c r="O541" s="77">
        <f t="shared" si="539"/>
        <v>0</v>
      </c>
      <c r="P541" s="77">
        <f t="shared" si="540"/>
        <v>0</v>
      </c>
      <c r="Q541" s="76">
        <f t="shared" si="541"/>
        <v>0</v>
      </c>
      <c r="R541" s="76">
        <f t="shared" si="542"/>
        <v>0</v>
      </c>
      <c r="S541" s="57">
        <f t="shared" si="543"/>
        <v>0</v>
      </c>
    </row>
    <row r="542" spans="1:19" x14ac:dyDescent="0.4">
      <c r="A542" s="57"/>
      <c r="B542" s="57" t="str">
        <f t="shared" si="544"/>
        <v>PDL92915</v>
      </c>
      <c r="C542" s="57"/>
      <c r="D542" s="79"/>
      <c r="E542" s="57"/>
      <c r="F542" s="71">
        <f t="shared" si="545"/>
        <v>245</v>
      </c>
      <c r="G542" s="72">
        <f t="shared" si="546"/>
        <v>0</v>
      </c>
      <c r="H542" s="57">
        <f t="shared" si="533"/>
        <v>0</v>
      </c>
      <c r="I542" s="73">
        <f t="shared" si="534"/>
        <v>0</v>
      </c>
      <c r="J542" s="74">
        <v>22</v>
      </c>
      <c r="K542" s="57">
        <f t="shared" si="535"/>
        <v>0</v>
      </c>
      <c r="L542" s="75">
        <f t="shared" si="536"/>
        <v>0</v>
      </c>
      <c r="M542" s="76">
        <f t="shared" si="537"/>
        <v>0</v>
      </c>
      <c r="N542" s="76">
        <f t="shared" si="538"/>
        <v>0</v>
      </c>
      <c r="O542" s="77">
        <f t="shared" si="539"/>
        <v>0</v>
      </c>
      <c r="P542" s="77">
        <f t="shared" si="540"/>
        <v>0</v>
      </c>
      <c r="Q542" s="76">
        <f t="shared" si="541"/>
        <v>0</v>
      </c>
      <c r="R542" s="76">
        <f t="shared" si="542"/>
        <v>0</v>
      </c>
      <c r="S542" s="57">
        <f t="shared" si="543"/>
        <v>0</v>
      </c>
    </row>
    <row r="543" spans="1:19" x14ac:dyDescent="0.4">
      <c r="A543" s="57"/>
      <c r="B543" s="57" t="str">
        <f t="shared" si="544"/>
        <v>PDL92915</v>
      </c>
      <c r="C543" s="57"/>
      <c r="D543" s="79"/>
      <c r="E543" s="57"/>
      <c r="F543" s="71">
        <f t="shared" si="545"/>
        <v>275</v>
      </c>
      <c r="G543" s="72">
        <f t="shared" si="546"/>
        <v>0</v>
      </c>
      <c r="H543" s="57">
        <f t="shared" si="533"/>
        <v>0</v>
      </c>
      <c r="I543" s="73">
        <f t="shared" si="534"/>
        <v>0</v>
      </c>
      <c r="J543" s="74">
        <v>22</v>
      </c>
      <c r="K543" s="57">
        <f t="shared" si="535"/>
        <v>0</v>
      </c>
      <c r="L543" s="75">
        <f t="shared" si="536"/>
        <v>0</v>
      </c>
      <c r="M543" s="76">
        <f t="shared" si="537"/>
        <v>0</v>
      </c>
      <c r="N543" s="76">
        <f t="shared" si="538"/>
        <v>0</v>
      </c>
      <c r="O543" s="77">
        <f t="shared" si="539"/>
        <v>0</v>
      </c>
      <c r="P543" s="77">
        <f t="shared" si="540"/>
        <v>0</v>
      </c>
      <c r="Q543" s="76">
        <f t="shared" si="541"/>
        <v>0</v>
      </c>
      <c r="R543" s="76">
        <f t="shared" si="542"/>
        <v>0</v>
      </c>
      <c r="S543" s="57">
        <f t="shared" si="543"/>
        <v>0</v>
      </c>
    </row>
    <row r="544" spans="1:19" x14ac:dyDescent="0.4">
      <c r="A544" s="57"/>
      <c r="B544" s="57" t="str">
        <f t="shared" si="544"/>
        <v>PDL92915</v>
      </c>
      <c r="C544" s="57"/>
      <c r="D544" s="57"/>
      <c r="E544" s="57"/>
      <c r="F544" s="71">
        <f t="shared" si="545"/>
        <v>306</v>
      </c>
      <c r="G544" s="72">
        <f t="shared" si="546"/>
        <v>0</v>
      </c>
      <c r="H544" s="57">
        <f t="shared" si="533"/>
        <v>0</v>
      </c>
      <c r="I544" s="73">
        <f t="shared" si="534"/>
        <v>0</v>
      </c>
      <c r="J544" s="74">
        <v>22</v>
      </c>
      <c r="K544" s="57">
        <f t="shared" si="535"/>
        <v>0</v>
      </c>
      <c r="L544" s="75">
        <f t="shared" si="536"/>
        <v>0</v>
      </c>
      <c r="M544" s="76">
        <f t="shared" si="537"/>
        <v>0</v>
      </c>
      <c r="N544" s="76">
        <f t="shared" si="538"/>
        <v>0</v>
      </c>
      <c r="O544" s="77">
        <f t="shared" si="539"/>
        <v>0</v>
      </c>
      <c r="P544" s="77">
        <f t="shared" si="540"/>
        <v>0</v>
      </c>
      <c r="Q544" s="76">
        <f t="shared" si="541"/>
        <v>0</v>
      </c>
      <c r="R544" s="76">
        <f t="shared" si="542"/>
        <v>0</v>
      </c>
      <c r="S544" s="57">
        <f t="shared" si="543"/>
        <v>0</v>
      </c>
    </row>
    <row r="545" spans="1:19" x14ac:dyDescent="0.4">
      <c r="A545" s="57"/>
      <c r="B545" s="57" t="str">
        <f t="shared" si="544"/>
        <v>PDL92915</v>
      </c>
      <c r="C545" s="57"/>
      <c r="D545" s="57"/>
      <c r="E545" s="57"/>
      <c r="F545" s="71">
        <f t="shared" si="545"/>
        <v>336</v>
      </c>
      <c r="G545" s="72">
        <f t="shared" si="546"/>
        <v>0</v>
      </c>
      <c r="H545" s="57">
        <f t="shared" si="533"/>
        <v>0</v>
      </c>
      <c r="I545" s="73">
        <f t="shared" si="534"/>
        <v>0</v>
      </c>
      <c r="J545" s="74">
        <v>22</v>
      </c>
      <c r="K545" s="57">
        <f t="shared" si="535"/>
        <v>0</v>
      </c>
      <c r="L545" s="75">
        <f t="shared" si="536"/>
        <v>0</v>
      </c>
      <c r="M545" s="76">
        <f t="shared" si="537"/>
        <v>0</v>
      </c>
      <c r="N545" s="76">
        <f t="shared" si="538"/>
        <v>0</v>
      </c>
      <c r="O545" s="77">
        <f t="shared" si="539"/>
        <v>0</v>
      </c>
      <c r="P545" s="77">
        <f t="shared" si="540"/>
        <v>0</v>
      </c>
      <c r="Q545" s="76">
        <f t="shared" si="541"/>
        <v>0</v>
      </c>
      <c r="R545" s="76">
        <f t="shared" si="542"/>
        <v>0</v>
      </c>
      <c r="S545" s="57">
        <f t="shared" si="543"/>
        <v>0</v>
      </c>
    </row>
    <row r="546" spans="1:19" x14ac:dyDescent="0.4">
      <c r="A546" s="57"/>
      <c r="B546" s="57" t="str">
        <f t="shared" si="544"/>
        <v>PDL92915</v>
      </c>
      <c r="C546" s="57"/>
      <c r="D546" s="57"/>
      <c r="E546" s="57"/>
      <c r="F546" s="71">
        <f t="shared" si="545"/>
        <v>367</v>
      </c>
      <c r="G546" s="72">
        <f t="shared" si="546"/>
        <v>0</v>
      </c>
      <c r="H546" s="57">
        <f t="shared" si="533"/>
        <v>0</v>
      </c>
      <c r="I546" s="73">
        <f t="shared" si="534"/>
        <v>0</v>
      </c>
      <c r="J546" s="74">
        <v>22</v>
      </c>
      <c r="K546" s="57">
        <f t="shared" si="535"/>
        <v>0</v>
      </c>
      <c r="L546" s="75">
        <f t="shared" si="536"/>
        <v>0</v>
      </c>
      <c r="M546" s="76">
        <f t="shared" si="537"/>
        <v>0</v>
      </c>
      <c r="N546" s="76">
        <f t="shared" si="538"/>
        <v>0</v>
      </c>
      <c r="O546" s="77">
        <f t="shared" si="539"/>
        <v>0</v>
      </c>
      <c r="P546" s="77">
        <f t="shared" si="540"/>
        <v>0</v>
      </c>
      <c r="Q546" s="76">
        <f t="shared" si="541"/>
        <v>0</v>
      </c>
      <c r="R546" s="76">
        <f t="shared" si="542"/>
        <v>0</v>
      </c>
      <c r="S546" s="57">
        <f t="shared" si="543"/>
        <v>0</v>
      </c>
    </row>
    <row r="547" spans="1:19" x14ac:dyDescent="0.4">
      <c r="B547" s="57"/>
    </row>
    <row r="548" spans="1:19" ht="123" customHeight="1" x14ac:dyDescent="0.4">
      <c r="A548" s="69" t="s">
        <v>11</v>
      </c>
      <c r="B548" s="69" t="s">
        <v>11</v>
      </c>
      <c r="C548" s="69" t="s">
        <v>155</v>
      </c>
      <c r="D548" s="69" t="s">
        <v>158</v>
      </c>
      <c r="E548" s="69" t="s">
        <v>185</v>
      </c>
      <c r="F548" s="69" t="s">
        <v>186</v>
      </c>
      <c r="G548" s="70" t="s">
        <v>156</v>
      </c>
      <c r="H548" s="69" t="s">
        <v>187</v>
      </c>
      <c r="I548" s="69" t="s">
        <v>188</v>
      </c>
      <c r="J548" s="69" t="s">
        <v>158</v>
      </c>
      <c r="K548" s="69" t="s">
        <v>159</v>
      </c>
      <c r="L548" s="69" t="s">
        <v>160</v>
      </c>
      <c r="M548" s="69" t="s">
        <v>161</v>
      </c>
      <c r="N548" s="69" t="s">
        <v>162</v>
      </c>
      <c r="O548" s="69" t="s">
        <v>163</v>
      </c>
      <c r="P548" s="69" t="s">
        <v>164</v>
      </c>
      <c r="Q548" s="69" t="s">
        <v>165</v>
      </c>
      <c r="R548" s="69" t="s">
        <v>166</v>
      </c>
      <c r="S548" s="69" t="s">
        <v>189</v>
      </c>
    </row>
    <row r="549" spans="1:19" x14ac:dyDescent="0.4">
      <c r="A549" s="57">
        <f>+A535+1</f>
        <v>40</v>
      </c>
      <c r="B549" s="57" t="str">
        <f>INDEX('sale resgister'!B:B,A549+1,1)</f>
        <v>PDL92920</v>
      </c>
      <c r="C549" s="71">
        <f>+VLOOKUP(B549,'sale resgister'!B:J,9,0)</f>
        <v>46350</v>
      </c>
      <c r="D549" s="79" t="str">
        <f>+VLOOKUP(B549,'sale resgister'!B:J,2,0)</f>
        <v>Batch 3</v>
      </c>
      <c r="E549" s="96">
        <f>IF(C549=0,0,VLOOKUP(B549,'sale resgister'!B:J,4,0))</f>
        <v>2.1789999999999998</v>
      </c>
      <c r="F549" s="71">
        <f>DATE(YEAR(C549),MONTH(C549)+1,1)</f>
        <v>46357</v>
      </c>
      <c r="G549" s="72">
        <f>E549</f>
        <v>2.1789999999999998</v>
      </c>
      <c r="H549" s="57">
        <f t="shared" ref="H549:H560" si="547">ROUND(+G549*$H$1,3)</f>
        <v>0.153</v>
      </c>
      <c r="I549" s="73">
        <f t="shared" ref="I549:I560" si="548">IFERROR(+VLOOKUP(F549,$W$3:$X$15,2,0),0)</f>
        <v>0</v>
      </c>
      <c r="J549" s="74">
        <v>22</v>
      </c>
      <c r="K549" s="57">
        <f t="shared" ref="K549:K560" si="549">ROUND(+H549*97%,3)</f>
        <v>0.14799999999999999</v>
      </c>
      <c r="L549" s="75">
        <f t="shared" ref="L549:L560" si="550">(K549-H549*92%)*I549</f>
        <v>0</v>
      </c>
      <c r="M549" s="76">
        <f t="shared" ref="M549:M560" si="551">ROUND(I549*92%*H549,2)</f>
        <v>0</v>
      </c>
      <c r="N549" s="76">
        <f t="shared" ref="N549:N560" si="552">ROUND(+M549*0.11,2)</f>
        <v>0</v>
      </c>
      <c r="O549" s="77">
        <f t="shared" ref="O549:O560" si="553">+N549-L549</f>
        <v>0</v>
      </c>
      <c r="P549" s="77">
        <f t="shared" ref="P549:P560" si="554">ROUND(+O549*15%,2)</f>
        <v>0</v>
      </c>
      <c r="Q549" s="76">
        <f t="shared" ref="Q549:Q560" si="555">ROUND(+(O549-P549)*60%,2)</f>
        <v>0</v>
      </c>
      <c r="R549" s="76">
        <f t="shared" ref="R549:R560" si="556">ROUND(+(O549-P549)*40%,2)</f>
        <v>0</v>
      </c>
      <c r="S549" s="57">
        <f t="shared" ref="S549:S560" si="557">IFERROR(ROUND(+Q549/(I549/92%),3),0)</f>
        <v>0</v>
      </c>
    </row>
    <row r="550" spans="1:19" x14ac:dyDescent="0.4">
      <c r="A550" s="57"/>
      <c r="B550" s="57" t="str">
        <f t="shared" ref="B550:B560" si="558">+B549</f>
        <v>PDL92920</v>
      </c>
      <c r="C550" s="57"/>
      <c r="D550" s="57"/>
      <c r="E550" s="57"/>
      <c r="F550" s="71">
        <f t="shared" ref="F550:F560" si="559">IF(+DATE(YEAR(F549),MONTH(F549)+1,1)&gt;$G$1+1,0,+DATE(YEAR(F549),MONTH(F549)+1,1))</f>
        <v>0</v>
      </c>
      <c r="G550" s="72">
        <f t="shared" ref="G550:G560" si="560">ROUND(IF(F550=0,0,(G549+S549)),3)</f>
        <v>0</v>
      </c>
      <c r="H550" s="57">
        <f t="shared" si="547"/>
        <v>0</v>
      </c>
      <c r="I550" s="73">
        <f t="shared" si="548"/>
        <v>0</v>
      </c>
      <c r="J550" s="74">
        <v>22</v>
      </c>
      <c r="K550" s="57">
        <f t="shared" si="549"/>
        <v>0</v>
      </c>
      <c r="L550" s="75">
        <f t="shared" si="550"/>
        <v>0</v>
      </c>
      <c r="M550" s="76">
        <f t="shared" si="551"/>
        <v>0</v>
      </c>
      <c r="N550" s="76">
        <f t="shared" si="552"/>
        <v>0</v>
      </c>
      <c r="O550" s="77">
        <f t="shared" si="553"/>
        <v>0</v>
      </c>
      <c r="P550" s="77">
        <f t="shared" si="554"/>
        <v>0</v>
      </c>
      <c r="Q550" s="76">
        <f t="shared" si="555"/>
        <v>0</v>
      </c>
      <c r="R550" s="76">
        <f t="shared" si="556"/>
        <v>0</v>
      </c>
      <c r="S550" s="57">
        <f t="shared" si="557"/>
        <v>0</v>
      </c>
    </row>
    <row r="551" spans="1:19" x14ac:dyDescent="0.4">
      <c r="A551" s="57"/>
      <c r="B551" s="57" t="str">
        <f t="shared" si="558"/>
        <v>PDL92920</v>
      </c>
      <c r="C551" s="57"/>
      <c r="D551" s="57"/>
      <c r="E551" s="71"/>
      <c r="F551" s="71">
        <f t="shared" si="559"/>
        <v>32</v>
      </c>
      <c r="G551" s="72">
        <f t="shared" si="560"/>
        <v>0</v>
      </c>
      <c r="H551" s="57">
        <f t="shared" si="547"/>
        <v>0</v>
      </c>
      <c r="I551" s="73">
        <f t="shared" si="548"/>
        <v>0</v>
      </c>
      <c r="J551" s="74">
        <v>22</v>
      </c>
      <c r="K551" s="57">
        <f t="shared" si="549"/>
        <v>0</v>
      </c>
      <c r="L551" s="75">
        <f t="shared" si="550"/>
        <v>0</v>
      </c>
      <c r="M551" s="76">
        <f t="shared" si="551"/>
        <v>0</v>
      </c>
      <c r="N551" s="76">
        <f t="shared" si="552"/>
        <v>0</v>
      </c>
      <c r="O551" s="77">
        <f t="shared" si="553"/>
        <v>0</v>
      </c>
      <c r="P551" s="77">
        <f t="shared" si="554"/>
        <v>0</v>
      </c>
      <c r="Q551" s="76">
        <f t="shared" si="555"/>
        <v>0</v>
      </c>
      <c r="R551" s="76">
        <f t="shared" si="556"/>
        <v>0</v>
      </c>
      <c r="S551" s="57">
        <f t="shared" si="557"/>
        <v>0</v>
      </c>
    </row>
    <row r="552" spans="1:19" x14ac:dyDescent="0.4">
      <c r="A552" s="57"/>
      <c r="B552" s="57" t="str">
        <f t="shared" si="558"/>
        <v>PDL92920</v>
      </c>
      <c r="C552" s="57"/>
      <c r="D552" s="57"/>
      <c r="E552" s="57"/>
      <c r="F552" s="71">
        <f t="shared" si="559"/>
        <v>61</v>
      </c>
      <c r="G552" s="72">
        <f t="shared" si="560"/>
        <v>0</v>
      </c>
      <c r="H552" s="57">
        <f t="shared" si="547"/>
        <v>0</v>
      </c>
      <c r="I552" s="73">
        <f t="shared" si="548"/>
        <v>0</v>
      </c>
      <c r="J552" s="74">
        <v>22</v>
      </c>
      <c r="K552" s="57">
        <f t="shared" si="549"/>
        <v>0</v>
      </c>
      <c r="L552" s="75">
        <f t="shared" si="550"/>
        <v>0</v>
      </c>
      <c r="M552" s="76">
        <f t="shared" si="551"/>
        <v>0</v>
      </c>
      <c r="N552" s="76">
        <f t="shared" si="552"/>
        <v>0</v>
      </c>
      <c r="O552" s="77">
        <f t="shared" si="553"/>
        <v>0</v>
      </c>
      <c r="P552" s="77">
        <f t="shared" si="554"/>
        <v>0</v>
      </c>
      <c r="Q552" s="76">
        <f t="shared" si="555"/>
        <v>0</v>
      </c>
      <c r="R552" s="76">
        <f t="shared" si="556"/>
        <v>0</v>
      </c>
      <c r="S552" s="57">
        <f t="shared" si="557"/>
        <v>0</v>
      </c>
    </row>
    <row r="553" spans="1:19" x14ac:dyDescent="0.4">
      <c r="A553" s="57"/>
      <c r="B553" s="57" t="str">
        <f t="shared" si="558"/>
        <v>PDL92920</v>
      </c>
      <c r="C553" s="71"/>
      <c r="D553" s="57"/>
      <c r="E553" s="57"/>
      <c r="F553" s="71">
        <f t="shared" si="559"/>
        <v>92</v>
      </c>
      <c r="G553" s="72">
        <f t="shared" si="560"/>
        <v>0</v>
      </c>
      <c r="H553" s="57">
        <f t="shared" si="547"/>
        <v>0</v>
      </c>
      <c r="I553" s="73">
        <f t="shared" si="548"/>
        <v>0</v>
      </c>
      <c r="J553" s="74">
        <v>22</v>
      </c>
      <c r="K553" s="57">
        <f t="shared" si="549"/>
        <v>0</v>
      </c>
      <c r="L553" s="75">
        <f t="shared" si="550"/>
        <v>0</v>
      </c>
      <c r="M553" s="76">
        <f t="shared" si="551"/>
        <v>0</v>
      </c>
      <c r="N553" s="76">
        <f t="shared" si="552"/>
        <v>0</v>
      </c>
      <c r="O553" s="77">
        <f t="shared" si="553"/>
        <v>0</v>
      </c>
      <c r="P553" s="77">
        <f t="shared" si="554"/>
        <v>0</v>
      </c>
      <c r="Q553" s="76">
        <f t="shared" si="555"/>
        <v>0</v>
      </c>
      <c r="R553" s="76">
        <f t="shared" si="556"/>
        <v>0</v>
      </c>
      <c r="S553" s="57">
        <f t="shared" si="557"/>
        <v>0</v>
      </c>
    </row>
    <row r="554" spans="1:19" x14ac:dyDescent="0.4">
      <c r="A554" s="57"/>
      <c r="B554" s="57" t="str">
        <f t="shared" si="558"/>
        <v>PDL92920</v>
      </c>
      <c r="C554" s="57"/>
      <c r="D554" s="57"/>
      <c r="E554" s="57"/>
      <c r="F554" s="71">
        <f t="shared" si="559"/>
        <v>122</v>
      </c>
      <c r="G554" s="72">
        <f t="shared" si="560"/>
        <v>0</v>
      </c>
      <c r="H554" s="57">
        <f t="shared" si="547"/>
        <v>0</v>
      </c>
      <c r="I554" s="73">
        <f t="shared" si="548"/>
        <v>0</v>
      </c>
      <c r="J554" s="74">
        <v>22</v>
      </c>
      <c r="K554" s="57">
        <f t="shared" si="549"/>
        <v>0</v>
      </c>
      <c r="L554" s="75">
        <f t="shared" si="550"/>
        <v>0</v>
      </c>
      <c r="M554" s="76">
        <f t="shared" si="551"/>
        <v>0</v>
      </c>
      <c r="N554" s="76">
        <f t="shared" si="552"/>
        <v>0</v>
      </c>
      <c r="O554" s="77">
        <f t="shared" si="553"/>
        <v>0</v>
      </c>
      <c r="P554" s="77">
        <f t="shared" si="554"/>
        <v>0</v>
      </c>
      <c r="Q554" s="76">
        <f t="shared" si="555"/>
        <v>0</v>
      </c>
      <c r="R554" s="76">
        <f t="shared" si="556"/>
        <v>0</v>
      </c>
      <c r="S554" s="57">
        <f t="shared" si="557"/>
        <v>0</v>
      </c>
    </row>
    <row r="555" spans="1:19" x14ac:dyDescent="0.4">
      <c r="A555" s="57"/>
      <c r="B555" s="57" t="str">
        <f t="shared" si="558"/>
        <v>PDL92920</v>
      </c>
      <c r="C555" s="57"/>
      <c r="D555" s="57"/>
      <c r="E555" s="57"/>
      <c r="F555" s="71">
        <f t="shared" si="559"/>
        <v>153</v>
      </c>
      <c r="G555" s="72">
        <f t="shared" si="560"/>
        <v>0</v>
      </c>
      <c r="H555" s="57">
        <f t="shared" si="547"/>
        <v>0</v>
      </c>
      <c r="I555" s="73">
        <f t="shared" si="548"/>
        <v>0</v>
      </c>
      <c r="J555" s="74">
        <v>22</v>
      </c>
      <c r="K555" s="57">
        <f t="shared" si="549"/>
        <v>0</v>
      </c>
      <c r="L555" s="75">
        <f t="shared" si="550"/>
        <v>0</v>
      </c>
      <c r="M555" s="76">
        <f t="shared" si="551"/>
        <v>0</v>
      </c>
      <c r="N555" s="76">
        <f t="shared" si="552"/>
        <v>0</v>
      </c>
      <c r="O555" s="77">
        <f t="shared" si="553"/>
        <v>0</v>
      </c>
      <c r="P555" s="77">
        <f t="shared" si="554"/>
        <v>0</v>
      </c>
      <c r="Q555" s="76">
        <f t="shared" si="555"/>
        <v>0</v>
      </c>
      <c r="R555" s="76">
        <f t="shared" si="556"/>
        <v>0</v>
      </c>
      <c r="S555" s="57">
        <f t="shared" si="557"/>
        <v>0</v>
      </c>
    </row>
    <row r="556" spans="1:19" x14ac:dyDescent="0.4">
      <c r="A556" s="57"/>
      <c r="B556" s="57" t="str">
        <f t="shared" si="558"/>
        <v>PDL92920</v>
      </c>
      <c r="C556" s="57"/>
      <c r="D556" s="79"/>
      <c r="E556" s="57"/>
      <c r="F556" s="71">
        <f t="shared" si="559"/>
        <v>183</v>
      </c>
      <c r="G556" s="72">
        <f t="shared" si="560"/>
        <v>0</v>
      </c>
      <c r="H556" s="57">
        <f t="shared" si="547"/>
        <v>0</v>
      </c>
      <c r="I556" s="73">
        <f t="shared" si="548"/>
        <v>0</v>
      </c>
      <c r="J556" s="74">
        <v>22</v>
      </c>
      <c r="K556" s="57">
        <f t="shared" si="549"/>
        <v>0</v>
      </c>
      <c r="L556" s="75">
        <f t="shared" si="550"/>
        <v>0</v>
      </c>
      <c r="M556" s="76">
        <f t="shared" si="551"/>
        <v>0</v>
      </c>
      <c r="N556" s="76">
        <f t="shared" si="552"/>
        <v>0</v>
      </c>
      <c r="O556" s="77">
        <f t="shared" si="553"/>
        <v>0</v>
      </c>
      <c r="P556" s="77">
        <f t="shared" si="554"/>
        <v>0</v>
      </c>
      <c r="Q556" s="76">
        <f t="shared" si="555"/>
        <v>0</v>
      </c>
      <c r="R556" s="76">
        <f t="shared" si="556"/>
        <v>0</v>
      </c>
      <c r="S556" s="57">
        <f t="shared" si="557"/>
        <v>0</v>
      </c>
    </row>
    <row r="557" spans="1:19" x14ac:dyDescent="0.4">
      <c r="A557" s="57"/>
      <c r="B557" s="57" t="str">
        <f t="shared" si="558"/>
        <v>PDL92920</v>
      </c>
      <c r="C557" s="57"/>
      <c r="D557" s="79"/>
      <c r="E557" s="57"/>
      <c r="F557" s="71">
        <f t="shared" si="559"/>
        <v>214</v>
      </c>
      <c r="G557" s="72">
        <f t="shared" si="560"/>
        <v>0</v>
      </c>
      <c r="H557" s="57">
        <f t="shared" si="547"/>
        <v>0</v>
      </c>
      <c r="I557" s="73">
        <f t="shared" si="548"/>
        <v>0</v>
      </c>
      <c r="J557" s="74">
        <v>22</v>
      </c>
      <c r="K557" s="57">
        <f t="shared" si="549"/>
        <v>0</v>
      </c>
      <c r="L557" s="75">
        <f t="shared" si="550"/>
        <v>0</v>
      </c>
      <c r="M557" s="76">
        <f t="shared" si="551"/>
        <v>0</v>
      </c>
      <c r="N557" s="76">
        <f t="shared" si="552"/>
        <v>0</v>
      </c>
      <c r="O557" s="77">
        <f t="shared" si="553"/>
        <v>0</v>
      </c>
      <c r="P557" s="77">
        <f t="shared" si="554"/>
        <v>0</v>
      </c>
      <c r="Q557" s="76">
        <f t="shared" si="555"/>
        <v>0</v>
      </c>
      <c r="R557" s="76">
        <f t="shared" si="556"/>
        <v>0</v>
      </c>
      <c r="S557" s="57">
        <f t="shared" si="557"/>
        <v>0</v>
      </c>
    </row>
    <row r="558" spans="1:19" x14ac:dyDescent="0.4">
      <c r="A558" s="57"/>
      <c r="B558" s="57" t="str">
        <f t="shared" si="558"/>
        <v>PDL92920</v>
      </c>
      <c r="C558" s="57"/>
      <c r="D558" s="57"/>
      <c r="E558" s="57"/>
      <c r="F558" s="71">
        <f t="shared" si="559"/>
        <v>245</v>
      </c>
      <c r="G558" s="72">
        <f t="shared" si="560"/>
        <v>0</v>
      </c>
      <c r="H558" s="57">
        <f t="shared" si="547"/>
        <v>0</v>
      </c>
      <c r="I558" s="73">
        <f t="shared" si="548"/>
        <v>0</v>
      </c>
      <c r="J558" s="74">
        <v>22</v>
      </c>
      <c r="K558" s="57">
        <f t="shared" si="549"/>
        <v>0</v>
      </c>
      <c r="L558" s="75">
        <f t="shared" si="550"/>
        <v>0</v>
      </c>
      <c r="M558" s="76">
        <f t="shared" si="551"/>
        <v>0</v>
      </c>
      <c r="N558" s="76">
        <f t="shared" si="552"/>
        <v>0</v>
      </c>
      <c r="O558" s="77">
        <f t="shared" si="553"/>
        <v>0</v>
      </c>
      <c r="P558" s="77">
        <f t="shared" si="554"/>
        <v>0</v>
      </c>
      <c r="Q558" s="76">
        <f t="shared" si="555"/>
        <v>0</v>
      </c>
      <c r="R558" s="76">
        <f t="shared" si="556"/>
        <v>0</v>
      </c>
      <c r="S558" s="57">
        <f t="shared" si="557"/>
        <v>0</v>
      </c>
    </row>
    <row r="559" spans="1:19" x14ac:dyDescent="0.4">
      <c r="A559" s="57"/>
      <c r="B559" s="57" t="str">
        <f t="shared" si="558"/>
        <v>PDL92920</v>
      </c>
      <c r="C559" s="57"/>
      <c r="D559" s="57"/>
      <c r="E559" s="57"/>
      <c r="F559" s="71">
        <f t="shared" si="559"/>
        <v>275</v>
      </c>
      <c r="G559" s="72">
        <f t="shared" si="560"/>
        <v>0</v>
      </c>
      <c r="H559" s="57">
        <f t="shared" si="547"/>
        <v>0</v>
      </c>
      <c r="I559" s="73">
        <f t="shared" si="548"/>
        <v>0</v>
      </c>
      <c r="J559" s="74">
        <v>22</v>
      </c>
      <c r="K559" s="57">
        <f t="shared" si="549"/>
        <v>0</v>
      </c>
      <c r="L559" s="75">
        <f t="shared" si="550"/>
        <v>0</v>
      </c>
      <c r="M559" s="76">
        <f t="shared" si="551"/>
        <v>0</v>
      </c>
      <c r="N559" s="76">
        <f t="shared" si="552"/>
        <v>0</v>
      </c>
      <c r="O559" s="77">
        <f t="shared" si="553"/>
        <v>0</v>
      </c>
      <c r="P559" s="77">
        <f t="shared" si="554"/>
        <v>0</v>
      </c>
      <c r="Q559" s="76">
        <f t="shared" si="555"/>
        <v>0</v>
      </c>
      <c r="R559" s="76">
        <f t="shared" si="556"/>
        <v>0</v>
      </c>
      <c r="S559" s="57">
        <f t="shared" si="557"/>
        <v>0</v>
      </c>
    </row>
    <row r="560" spans="1:19" x14ac:dyDescent="0.4">
      <c r="A560" s="57"/>
      <c r="B560" s="57" t="str">
        <f t="shared" si="558"/>
        <v>PDL92920</v>
      </c>
      <c r="C560" s="57"/>
      <c r="D560" s="57"/>
      <c r="E560" s="57"/>
      <c r="F560" s="71">
        <f t="shared" si="559"/>
        <v>306</v>
      </c>
      <c r="G560" s="72">
        <f t="shared" si="560"/>
        <v>0</v>
      </c>
      <c r="H560" s="57">
        <f t="shared" si="547"/>
        <v>0</v>
      </c>
      <c r="I560" s="73">
        <f t="shared" si="548"/>
        <v>0</v>
      </c>
      <c r="J560" s="74">
        <v>22</v>
      </c>
      <c r="K560" s="57">
        <f t="shared" si="549"/>
        <v>0</v>
      </c>
      <c r="L560" s="75">
        <f t="shared" si="550"/>
        <v>0</v>
      </c>
      <c r="M560" s="76">
        <f t="shared" si="551"/>
        <v>0</v>
      </c>
      <c r="N560" s="76">
        <f t="shared" si="552"/>
        <v>0</v>
      </c>
      <c r="O560" s="77">
        <f t="shared" si="553"/>
        <v>0</v>
      </c>
      <c r="P560" s="77">
        <f t="shared" si="554"/>
        <v>0</v>
      </c>
      <c r="Q560" s="76">
        <f t="shared" si="555"/>
        <v>0</v>
      </c>
      <c r="R560" s="76">
        <f t="shared" si="556"/>
        <v>0</v>
      </c>
      <c r="S560" s="57">
        <f t="shared" si="557"/>
        <v>0</v>
      </c>
    </row>
    <row r="561" spans="1:19" x14ac:dyDescent="0.4">
      <c r="B561" s="57"/>
    </row>
    <row r="562" spans="1:19" ht="123" customHeight="1" x14ac:dyDescent="0.4">
      <c r="A562" s="69" t="s">
        <v>11</v>
      </c>
      <c r="B562" s="69" t="s">
        <v>11</v>
      </c>
      <c r="C562" s="69" t="s">
        <v>155</v>
      </c>
      <c r="D562" s="69" t="s">
        <v>158</v>
      </c>
      <c r="E562" s="69" t="s">
        <v>185</v>
      </c>
      <c r="F562" s="69" t="s">
        <v>186</v>
      </c>
      <c r="G562" s="70" t="s">
        <v>156</v>
      </c>
      <c r="H562" s="69" t="s">
        <v>187</v>
      </c>
      <c r="I562" s="69" t="s">
        <v>188</v>
      </c>
      <c r="J562" s="69" t="s">
        <v>158</v>
      </c>
      <c r="K562" s="69" t="s">
        <v>159</v>
      </c>
      <c r="L562" s="69" t="s">
        <v>160</v>
      </c>
      <c r="M562" s="69" t="s">
        <v>161</v>
      </c>
      <c r="N562" s="69" t="s">
        <v>162</v>
      </c>
      <c r="O562" s="69" t="s">
        <v>163</v>
      </c>
      <c r="P562" s="69" t="s">
        <v>164</v>
      </c>
      <c r="Q562" s="69" t="s">
        <v>165</v>
      </c>
      <c r="R562" s="69" t="s">
        <v>166</v>
      </c>
      <c r="S562" s="69" t="s">
        <v>189</v>
      </c>
    </row>
    <row r="563" spans="1:19" x14ac:dyDescent="0.4">
      <c r="A563" s="57">
        <f>+A549+1</f>
        <v>41</v>
      </c>
      <c r="B563" s="57" t="str">
        <f>INDEX('sale resgister'!B:B,A563+1,1)</f>
        <v>RIN103357</v>
      </c>
      <c r="C563" s="71">
        <f>+VLOOKUP(B563,'sale resgister'!B:J,9,0)</f>
        <v>46050</v>
      </c>
      <c r="D563" s="79" t="str">
        <f>+VLOOKUP(B563,'sale resgister'!B:J,2,0)</f>
        <v>Batch 3</v>
      </c>
      <c r="E563" s="96">
        <f>IF(C563=0,0,VLOOKUP(B563,'sale resgister'!B:J,4,0))</f>
        <v>1.577</v>
      </c>
      <c r="F563" s="71">
        <f>DATE(YEAR(C563),MONTH(C563)+1,1)</f>
        <v>46054</v>
      </c>
      <c r="G563" s="72">
        <f>E563</f>
        <v>1.577</v>
      </c>
      <c r="H563" s="57">
        <f t="shared" ref="H563:H574" si="561">ROUND(+G563*$H$1,3)</f>
        <v>0.11</v>
      </c>
      <c r="I563" s="73">
        <f t="shared" ref="I563:I574" si="562">IFERROR(+VLOOKUP(F563,$W$3:$X$15,2,0),0)</f>
        <v>15760</v>
      </c>
      <c r="J563" s="74">
        <v>22</v>
      </c>
      <c r="K563" s="57">
        <f t="shared" ref="K563:K574" si="563">ROUND(+H563*97%,3)</f>
        <v>0.107</v>
      </c>
      <c r="L563" s="75">
        <f t="shared" ref="L563:L574" si="564">(K563-H563*92%)*I563</f>
        <v>91.407999999999987</v>
      </c>
      <c r="M563" s="76">
        <f t="shared" ref="M563:M574" si="565">ROUND(I563*92%*H563,2)</f>
        <v>1594.91</v>
      </c>
      <c r="N563" s="76">
        <f t="shared" ref="N563:N574" si="566">ROUND(+M563*0.11,2)</f>
        <v>175.44</v>
      </c>
      <c r="O563" s="77">
        <f t="shared" ref="O563:O574" si="567">+N563-L563</f>
        <v>84.032000000000011</v>
      </c>
      <c r="P563" s="77">
        <f t="shared" ref="P563:P574" si="568">ROUND(+O563*15%,2)</f>
        <v>12.6</v>
      </c>
      <c r="Q563" s="76">
        <f t="shared" ref="Q563:Q574" si="569">ROUND(+(O563-P563)*60%,2)</f>
        <v>42.86</v>
      </c>
      <c r="R563" s="76">
        <f t="shared" ref="R563:R574" si="570">ROUND(+(O563-P563)*40%,2)</f>
        <v>28.57</v>
      </c>
      <c r="S563" s="57">
        <f t="shared" ref="S563:S574" si="571">IFERROR(ROUND(+Q563/(I563/92%),3),0)</f>
        <v>3.0000000000000001E-3</v>
      </c>
    </row>
    <row r="564" spans="1:19" x14ac:dyDescent="0.4">
      <c r="A564" s="57"/>
      <c r="B564" s="57" t="str">
        <f t="shared" ref="B564:B574" si="572">+B563</f>
        <v>RIN103357</v>
      </c>
      <c r="C564" s="57"/>
      <c r="D564" s="57"/>
      <c r="E564" s="57"/>
      <c r="F564" s="71">
        <f t="shared" ref="F564:F574" si="573">IF(+DATE(YEAR(F563),MONTH(F563)+1,1)&gt;$G$1+1,0,+DATE(YEAR(F563),MONTH(F563)+1,1))</f>
        <v>46082</v>
      </c>
      <c r="G564" s="72">
        <f t="shared" ref="G564:G574" si="574">ROUND(IF(F564=0,0,(G563+S563)),3)</f>
        <v>1.58</v>
      </c>
      <c r="H564" s="57">
        <f t="shared" si="561"/>
        <v>0.111</v>
      </c>
      <c r="I564" s="73">
        <f t="shared" si="562"/>
        <v>17200</v>
      </c>
      <c r="J564" s="74">
        <v>22</v>
      </c>
      <c r="K564" s="57">
        <f t="shared" si="563"/>
        <v>0.108</v>
      </c>
      <c r="L564" s="75">
        <f t="shared" si="564"/>
        <v>101.13599999999994</v>
      </c>
      <c r="M564" s="76">
        <f t="shared" si="565"/>
        <v>1756.46</v>
      </c>
      <c r="N564" s="76">
        <f t="shared" si="566"/>
        <v>193.21</v>
      </c>
      <c r="O564" s="77">
        <f t="shared" si="567"/>
        <v>92.074000000000069</v>
      </c>
      <c r="P564" s="77">
        <f t="shared" si="568"/>
        <v>13.81</v>
      </c>
      <c r="Q564" s="76">
        <f t="shared" si="569"/>
        <v>46.96</v>
      </c>
      <c r="R564" s="76">
        <f t="shared" si="570"/>
        <v>31.31</v>
      </c>
      <c r="S564" s="57">
        <f t="shared" si="571"/>
        <v>3.0000000000000001E-3</v>
      </c>
    </row>
    <row r="565" spans="1:19" x14ac:dyDescent="0.4">
      <c r="A565" s="57"/>
      <c r="B565" s="57" t="str">
        <f t="shared" si="572"/>
        <v>RIN103357</v>
      </c>
      <c r="C565" s="57"/>
      <c r="D565" s="57"/>
      <c r="E565" s="71"/>
      <c r="F565" s="71">
        <f t="shared" si="573"/>
        <v>46113</v>
      </c>
      <c r="G565" s="72">
        <f t="shared" si="574"/>
        <v>1.583</v>
      </c>
      <c r="H565" s="57">
        <f t="shared" si="561"/>
        <v>0.111</v>
      </c>
      <c r="I565" s="73">
        <f t="shared" si="562"/>
        <v>15450</v>
      </c>
      <c r="J565" s="74">
        <v>22</v>
      </c>
      <c r="K565" s="57">
        <f t="shared" si="563"/>
        <v>0.108</v>
      </c>
      <c r="L565" s="75">
        <f t="shared" si="564"/>
        <v>90.845999999999947</v>
      </c>
      <c r="M565" s="76">
        <f t="shared" si="565"/>
        <v>1577.75</v>
      </c>
      <c r="N565" s="76">
        <f t="shared" si="566"/>
        <v>173.55</v>
      </c>
      <c r="O565" s="77">
        <f t="shared" si="567"/>
        <v>82.704000000000065</v>
      </c>
      <c r="P565" s="77">
        <f t="shared" si="568"/>
        <v>12.41</v>
      </c>
      <c r="Q565" s="76">
        <f t="shared" si="569"/>
        <v>42.18</v>
      </c>
      <c r="R565" s="76">
        <f t="shared" si="570"/>
        <v>28.12</v>
      </c>
      <c r="S565" s="57">
        <f t="shared" si="571"/>
        <v>3.0000000000000001E-3</v>
      </c>
    </row>
    <row r="566" spans="1:19" x14ac:dyDescent="0.4">
      <c r="A566" s="57"/>
      <c r="B566" s="57" t="str">
        <f t="shared" si="572"/>
        <v>RIN103357</v>
      </c>
      <c r="C566" s="57"/>
      <c r="D566" s="57"/>
      <c r="E566" s="57"/>
      <c r="F566" s="71">
        <f t="shared" si="573"/>
        <v>0</v>
      </c>
      <c r="G566" s="72">
        <f t="shared" si="574"/>
        <v>0</v>
      </c>
      <c r="H566" s="57">
        <f t="shared" si="561"/>
        <v>0</v>
      </c>
      <c r="I566" s="73">
        <f t="shared" si="562"/>
        <v>0</v>
      </c>
      <c r="J566" s="74">
        <v>22</v>
      </c>
      <c r="K566" s="57">
        <f t="shared" si="563"/>
        <v>0</v>
      </c>
      <c r="L566" s="75">
        <f t="shared" si="564"/>
        <v>0</v>
      </c>
      <c r="M566" s="76">
        <f t="shared" si="565"/>
        <v>0</v>
      </c>
      <c r="N566" s="76">
        <f t="shared" si="566"/>
        <v>0</v>
      </c>
      <c r="O566" s="77">
        <f t="shared" si="567"/>
        <v>0</v>
      </c>
      <c r="P566" s="77">
        <f t="shared" si="568"/>
        <v>0</v>
      </c>
      <c r="Q566" s="76">
        <f t="shared" si="569"/>
        <v>0</v>
      </c>
      <c r="R566" s="76">
        <f t="shared" si="570"/>
        <v>0</v>
      </c>
      <c r="S566" s="57">
        <f t="shared" si="571"/>
        <v>0</v>
      </c>
    </row>
    <row r="567" spans="1:19" x14ac:dyDescent="0.4">
      <c r="A567" s="57"/>
      <c r="B567" s="57" t="str">
        <f t="shared" si="572"/>
        <v>RIN103357</v>
      </c>
      <c r="C567" s="71"/>
      <c r="D567" s="57"/>
      <c r="E567" s="57"/>
      <c r="F567" s="71">
        <f t="shared" si="573"/>
        <v>32</v>
      </c>
      <c r="G567" s="72">
        <f t="shared" si="574"/>
        <v>0</v>
      </c>
      <c r="H567" s="57">
        <f t="shared" si="561"/>
        <v>0</v>
      </c>
      <c r="I567" s="73">
        <f t="shared" si="562"/>
        <v>0</v>
      </c>
      <c r="J567" s="74">
        <v>22</v>
      </c>
      <c r="K567" s="57">
        <f t="shared" si="563"/>
        <v>0</v>
      </c>
      <c r="L567" s="75">
        <f t="shared" si="564"/>
        <v>0</v>
      </c>
      <c r="M567" s="76">
        <f t="shared" si="565"/>
        <v>0</v>
      </c>
      <c r="N567" s="76">
        <f t="shared" si="566"/>
        <v>0</v>
      </c>
      <c r="O567" s="77">
        <f t="shared" si="567"/>
        <v>0</v>
      </c>
      <c r="P567" s="77">
        <f t="shared" si="568"/>
        <v>0</v>
      </c>
      <c r="Q567" s="76">
        <f t="shared" si="569"/>
        <v>0</v>
      </c>
      <c r="R567" s="76">
        <f t="shared" si="570"/>
        <v>0</v>
      </c>
      <c r="S567" s="57">
        <f t="shared" si="571"/>
        <v>0</v>
      </c>
    </row>
    <row r="568" spans="1:19" x14ac:dyDescent="0.4">
      <c r="A568" s="57"/>
      <c r="B568" s="57" t="str">
        <f t="shared" si="572"/>
        <v>RIN103357</v>
      </c>
      <c r="C568" s="57"/>
      <c r="D568" s="57"/>
      <c r="E568" s="57"/>
      <c r="F568" s="71">
        <f t="shared" si="573"/>
        <v>61</v>
      </c>
      <c r="G568" s="72">
        <f t="shared" si="574"/>
        <v>0</v>
      </c>
      <c r="H568" s="57">
        <f t="shared" si="561"/>
        <v>0</v>
      </c>
      <c r="I568" s="73">
        <f t="shared" si="562"/>
        <v>0</v>
      </c>
      <c r="J568" s="74">
        <v>22</v>
      </c>
      <c r="K568" s="57">
        <f t="shared" si="563"/>
        <v>0</v>
      </c>
      <c r="L568" s="75">
        <f t="shared" si="564"/>
        <v>0</v>
      </c>
      <c r="M568" s="76">
        <f t="shared" si="565"/>
        <v>0</v>
      </c>
      <c r="N568" s="76">
        <f t="shared" si="566"/>
        <v>0</v>
      </c>
      <c r="O568" s="77">
        <f t="shared" si="567"/>
        <v>0</v>
      </c>
      <c r="P568" s="77">
        <f t="shared" si="568"/>
        <v>0</v>
      </c>
      <c r="Q568" s="76">
        <f t="shared" si="569"/>
        <v>0</v>
      </c>
      <c r="R568" s="76">
        <f t="shared" si="570"/>
        <v>0</v>
      </c>
      <c r="S568" s="57">
        <f t="shared" si="571"/>
        <v>0</v>
      </c>
    </row>
    <row r="569" spans="1:19" x14ac:dyDescent="0.4">
      <c r="A569" s="57"/>
      <c r="B569" s="57" t="str">
        <f t="shared" si="572"/>
        <v>RIN103357</v>
      </c>
      <c r="C569" s="57"/>
      <c r="D569" s="57"/>
      <c r="E569" s="57"/>
      <c r="F569" s="71">
        <f t="shared" si="573"/>
        <v>92</v>
      </c>
      <c r="G569" s="72">
        <f t="shared" si="574"/>
        <v>0</v>
      </c>
      <c r="H569" s="57">
        <f t="shared" si="561"/>
        <v>0</v>
      </c>
      <c r="I569" s="73">
        <f t="shared" si="562"/>
        <v>0</v>
      </c>
      <c r="J569" s="74">
        <v>22</v>
      </c>
      <c r="K569" s="57">
        <f t="shared" si="563"/>
        <v>0</v>
      </c>
      <c r="L569" s="75">
        <f t="shared" si="564"/>
        <v>0</v>
      </c>
      <c r="M569" s="76">
        <f t="shared" si="565"/>
        <v>0</v>
      </c>
      <c r="N569" s="76">
        <f t="shared" si="566"/>
        <v>0</v>
      </c>
      <c r="O569" s="77">
        <f t="shared" si="567"/>
        <v>0</v>
      </c>
      <c r="P569" s="77">
        <f t="shared" si="568"/>
        <v>0</v>
      </c>
      <c r="Q569" s="76">
        <f t="shared" si="569"/>
        <v>0</v>
      </c>
      <c r="R569" s="76">
        <f t="shared" si="570"/>
        <v>0</v>
      </c>
      <c r="S569" s="57">
        <f t="shared" si="571"/>
        <v>0</v>
      </c>
    </row>
    <row r="570" spans="1:19" x14ac:dyDescent="0.4">
      <c r="A570" s="57"/>
      <c r="B570" s="57" t="str">
        <f t="shared" si="572"/>
        <v>RIN103357</v>
      </c>
      <c r="C570" s="57"/>
      <c r="D570" s="79"/>
      <c r="E570" s="57"/>
      <c r="F570" s="71">
        <f t="shared" si="573"/>
        <v>122</v>
      </c>
      <c r="G570" s="72">
        <f t="shared" si="574"/>
        <v>0</v>
      </c>
      <c r="H570" s="57">
        <f t="shared" si="561"/>
        <v>0</v>
      </c>
      <c r="I570" s="73">
        <f t="shared" si="562"/>
        <v>0</v>
      </c>
      <c r="J570" s="74">
        <v>22</v>
      </c>
      <c r="K570" s="57">
        <f t="shared" si="563"/>
        <v>0</v>
      </c>
      <c r="L570" s="75">
        <f t="shared" si="564"/>
        <v>0</v>
      </c>
      <c r="M570" s="76">
        <f t="shared" si="565"/>
        <v>0</v>
      </c>
      <c r="N570" s="76">
        <f t="shared" si="566"/>
        <v>0</v>
      </c>
      <c r="O570" s="77">
        <f t="shared" si="567"/>
        <v>0</v>
      </c>
      <c r="P570" s="77">
        <f t="shared" si="568"/>
        <v>0</v>
      </c>
      <c r="Q570" s="76">
        <f t="shared" si="569"/>
        <v>0</v>
      </c>
      <c r="R570" s="76">
        <f t="shared" si="570"/>
        <v>0</v>
      </c>
      <c r="S570" s="57">
        <f t="shared" si="571"/>
        <v>0</v>
      </c>
    </row>
    <row r="571" spans="1:19" x14ac:dyDescent="0.4">
      <c r="A571" s="57"/>
      <c r="B571" s="57" t="str">
        <f t="shared" si="572"/>
        <v>RIN103357</v>
      </c>
      <c r="C571" s="57"/>
      <c r="D571" s="79"/>
      <c r="E571" s="57"/>
      <c r="F571" s="71">
        <f t="shared" si="573"/>
        <v>153</v>
      </c>
      <c r="G571" s="72">
        <f t="shared" si="574"/>
        <v>0</v>
      </c>
      <c r="H571" s="57">
        <f t="shared" si="561"/>
        <v>0</v>
      </c>
      <c r="I571" s="73">
        <f t="shared" si="562"/>
        <v>0</v>
      </c>
      <c r="J571" s="74">
        <v>22</v>
      </c>
      <c r="K571" s="57">
        <f t="shared" si="563"/>
        <v>0</v>
      </c>
      <c r="L571" s="75">
        <f t="shared" si="564"/>
        <v>0</v>
      </c>
      <c r="M571" s="76">
        <f t="shared" si="565"/>
        <v>0</v>
      </c>
      <c r="N571" s="76">
        <f t="shared" si="566"/>
        <v>0</v>
      </c>
      <c r="O571" s="77">
        <f t="shared" si="567"/>
        <v>0</v>
      </c>
      <c r="P571" s="77">
        <f t="shared" si="568"/>
        <v>0</v>
      </c>
      <c r="Q571" s="76">
        <f t="shared" si="569"/>
        <v>0</v>
      </c>
      <c r="R571" s="76">
        <f t="shared" si="570"/>
        <v>0</v>
      </c>
      <c r="S571" s="57">
        <f t="shared" si="571"/>
        <v>0</v>
      </c>
    </row>
    <row r="572" spans="1:19" x14ac:dyDescent="0.4">
      <c r="A572" s="57"/>
      <c r="B572" s="57" t="str">
        <f t="shared" si="572"/>
        <v>RIN103357</v>
      </c>
      <c r="C572" s="57"/>
      <c r="D572" s="57"/>
      <c r="E572" s="57"/>
      <c r="F572" s="71">
        <f t="shared" si="573"/>
        <v>183</v>
      </c>
      <c r="G572" s="72">
        <f t="shared" si="574"/>
        <v>0</v>
      </c>
      <c r="H572" s="57">
        <f t="shared" si="561"/>
        <v>0</v>
      </c>
      <c r="I572" s="73">
        <f t="shared" si="562"/>
        <v>0</v>
      </c>
      <c r="J572" s="74">
        <v>22</v>
      </c>
      <c r="K572" s="57">
        <f t="shared" si="563"/>
        <v>0</v>
      </c>
      <c r="L572" s="75">
        <f t="shared" si="564"/>
        <v>0</v>
      </c>
      <c r="M572" s="76">
        <f t="shared" si="565"/>
        <v>0</v>
      </c>
      <c r="N572" s="76">
        <f t="shared" si="566"/>
        <v>0</v>
      </c>
      <c r="O572" s="77">
        <f t="shared" si="567"/>
        <v>0</v>
      </c>
      <c r="P572" s="77">
        <f t="shared" si="568"/>
        <v>0</v>
      </c>
      <c r="Q572" s="76">
        <f t="shared" si="569"/>
        <v>0</v>
      </c>
      <c r="R572" s="76">
        <f t="shared" si="570"/>
        <v>0</v>
      </c>
      <c r="S572" s="57">
        <f t="shared" si="571"/>
        <v>0</v>
      </c>
    </row>
    <row r="573" spans="1:19" x14ac:dyDescent="0.4">
      <c r="A573" s="57"/>
      <c r="B573" s="57" t="str">
        <f t="shared" si="572"/>
        <v>RIN103357</v>
      </c>
      <c r="C573" s="57"/>
      <c r="D573" s="57"/>
      <c r="E573" s="57"/>
      <c r="F573" s="71">
        <f t="shared" si="573"/>
        <v>214</v>
      </c>
      <c r="G573" s="72">
        <f t="shared" si="574"/>
        <v>0</v>
      </c>
      <c r="H573" s="57">
        <f t="shared" si="561"/>
        <v>0</v>
      </c>
      <c r="I573" s="73">
        <f t="shared" si="562"/>
        <v>0</v>
      </c>
      <c r="J573" s="74">
        <v>22</v>
      </c>
      <c r="K573" s="57">
        <f t="shared" si="563"/>
        <v>0</v>
      </c>
      <c r="L573" s="75">
        <f t="shared" si="564"/>
        <v>0</v>
      </c>
      <c r="M573" s="76">
        <f t="shared" si="565"/>
        <v>0</v>
      </c>
      <c r="N573" s="76">
        <f t="shared" si="566"/>
        <v>0</v>
      </c>
      <c r="O573" s="77">
        <f t="shared" si="567"/>
        <v>0</v>
      </c>
      <c r="P573" s="77">
        <f t="shared" si="568"/>
        <v>0</v>
      </c>
      <c r="Q573" s="76">
        <f t="shared" si="569"/>
        <v>0</v>
      </c>
      <c r="R573" s="76">
        <f t="shared" si="570"/>
        <v>0</v>
      </c>
      <c r="S573" s="57">
        <f t="shared" si="571"/>
        <v>0</v>
      </c>
    </row>
    <row r="574" spans="1:19" x14ac:dyDescent="0.4">
      <c r="A574" s="57"/>
      <c r="B574" s="57" t="str">
        <f t="shared" si="572"/>
        <v>RIN103357</v>
      </c>
      <c r="C574" s="57"/>
      <c r="D574" s="57"/>
      <c r="E574" s="57"/>
      <c r="F574" s="71">
        <f t="shared" si="573"/>
        <v>245</v>
      </c>
      <c r="G574" s="72">
        <f t="shared" si="574"/>
        <v>0</v>
      </c>
      <c r="H574" s="57">
        <f t="shared" si="561"/>
        <v>0</v>
      </c>
      <c r="I574" s="73">
        <f t="shared" si="562"/>
        <v>0</v>
      </c>
      <c r="J574" s="74">
        <v>22</v>
      </c>
      <c r="K574" s="57">
        <f t="shared" si="563"/>
        <v>0</v>
      </c>
      <c r="L574" s="75">
        <f t="shared" si="564"/>
        <v>0</v>
      </c>
      <c r="M574" s="76">
        <f t="shared" si="565"/>
        <v>0</v>
      </c>
      <c r="N574" s="76">
        <f t="shared" si="566"/>
        <v>0</v>
      </c>
      <c r="O574" s="77">
        <f t="shared" si="567"/>
        <v>0</v>
      </c>
      <c r="P574" s="77">
        <f t="shared" si="568"/>
        <v>0</v>
      </c>
      <c r="Q574" s="76">
        <f t="shared" si="569"/>
        <v>0</v>
      </c>
      <c r="R574" s="76">
        <f t="shared" si="570"/>
        <v>0</v>
      </c>
      <c r="S574" s="57">
        <f t="shared" si="571"/>
        <v>0</v>
      </c>
    </row>
    <row r="575" spans="1:19" x14ac:dyDescent="0.4">
      <c r="B575" s="57"/>
    </row>
    <row r="576" spans="1:19" ht="123" customHeight="1" x14ac:dyDescent="0.4">
      <c r="A576" s="69" t="s">
        <v>11</v>
      </c>
      <c r="B576" s="69" t="s">
        <v>11</v>
      </c>
      <c r="C576" s="69" t="s">
        <v>155</v>
      </c>
      <c r="D576" s="69" t="s">
        <v>158</v>
      </c>
      <c r="E576" s="69" t="s">
        <v>185</v>
      </c>
      <c r="F576" s="69" t="s">
        <v>186</v>
      </c>
      <c r="G576" s="70" t="s">
        <v>156</v>
      </c>
      <c r="H576" s="69" t="s">
        <v>187</v>
      </c>
      <c r="I576" s="69" t="s">
        <v>188</v>
      </c>
      <c r="J576" s="69" t="s">
        <v>158</v>
      </c>
      <c r="K576" s="69" t="s">
        <v>159</v>
      </c>
      <c r="L576" s="69" t="s">
        <v>160</v>
      </c>
      <c r="M576" s="69" t="s">
        <v>161</v>
      </c>
      <c r="N576" s="69" t="s">
        <v>162</v>
      </c>
      <c r="O576" s="69" t="s">
        <v>163</v>
      </c>
      <c r="P576" s="69" t="s">
        <v>164</v>
      </c>
      <c r="Q576" s="69" t="s">
        <v>165</v>
      </c>
      <c r="R576" s="69" t="s">
        <v>166</v>
      </c>
      <c r="S576" s="69" t="s">
        <v>189</v>
      </c>
    </row>
    <row r="577" spans="1:19" x14ac:dyDescent="0.4">
      <c r="A577" s="57">
        <f>+A563+1</f>
        <v>42</v>
      </c>
      <c r="B577" s="57" t="str">
        <f>INDEX('sale resgister'!B:B,A577+1,1)</f>
        <v>RIN103356</v>
      </c>
      <c r="C577" s="71">
        <f>+VLOOKUP(B577,'sale resgister'!B:J,9,0)</f>
        <v>0</v>
      </c>
      <c r="D577" s="79" t="str">
        <f>+VLOOKUP(B577,'sale resgister'!B:J,2,0)</f>
        <v>Batch 3</v>
      </c>
      <c r="E577" s="96">
        <f>IF(C577=0,0,VLOOKUP(B577,'sale resgister'!B:J,4,0))</f>
        <v>0</v>
      </c>
      <c r="F577" s="71">
        <f>DATE(YEAR(C577),MONTH(C577)+1,1)</f>
        <v>32</v>
      </c>
      <c r="G577" s="72">
        <f>E577</f>
        <v>0</v>
      </c>
      <c r="H577" s="57">
        <f t="shared" ref="H577:H588" si="575">ROUND(+G577*$H$1,3)</f>
        <v>0</v>
      </c>
      <c r="I577" s="73">
        <f t="shared" ref="I577:I588" si="576">IFERROR(+VLOOKUP(F577,$W$3:$X$15,2,0),0)</f>
        <v>0</v>
      </c>
      <c r="J577" s="74">
        <v>22</v>
      </c>
      <c r="K577" s="57">
        <f t="shared" ref="K577:K588" si="577">ROUND(+H577*97%,3)</f>
        <v>0</v>
      </c>
      <c r="L577" s="75">
        <f t="shared" ref="L577:L588" si="578">(K577-H577*92%)*I577</f>
        <v>0</v>
      </c>
      <c r="M577" s="76">
        <f t="shared" ref="M577:M588" si="579">ROUND(I577*92%*H577,2)</f>
        <v>0</v>
      </c>
      <c r="N577" s="76">
        <f t="shared" ref="N577:N588" si="580">ROUND(+M577*0.11,2)</f>
        <v>0</v>
      </c>
      <c r="O577" s="77">
        <f t="shared" ref="O577:O588" si="581">+N577-L577</f>
        <v>0</v>
      </c>
      <c r="P577" s="77">
        <f t="shared" ref="P577:P588" si="582">ROUND(+O577*15%,2)</f>
        <v>0</v>
      </c>
      <c r="Q577" s="76">
        <f t="shared" ref="Q577:Q588" si="583">ROUND(+(O577-P577)*60%,2)</f>
        <v>0</v>
      </c>
      <c r="R577" s="76">
        <f t="shared" ref="R577:R588" si="584">ROUND(+(O577-P577)*40%,2)</f>
        <v>0</v>
      </c>
      <c r="S577" s="57">
        <f t="shared" ref="S577:S588" si="585">IFERROR(ROUND(+Q577/(I577/92%),3),0)</f>
        <v>0</v>
      </c>
    </row>
    <row r="578" spans="1:19" x14ac:dyDescent="0.4">
      <c r="A578" s="57"/>
      <c r="B578" s="57" t="str">
        <f t="shared" ref="B578:B588" si="586">+B577</f>
        <v>RIN103356</v>
      </c>
      <c r="C578" s="57"/>
      <c r="D578" s="57"/>
      <c r="E578" s="57"/>
      <c r="F578" s="71">
        <f t="shared" ref="F578:F588" si="587">IF(+DATE(YEAR(F577),MONTH(F577)+1,1)&gt;$G$1+1,0,+DATE(YEAR(F577),MONTH(F577)+1,1))</f>
        <v>61</v>
      </c>
      <c r="G578" s="72">
        <f t="shared" ref="G578:G588" si="588">ROUND(IF(F578=0,0,(G577+S577)),3)</f>
        <v>0</v>
      </c>
      <c r="H578" s="57">
        <f t="shared" si="575"/>
        <v>0</v>
      </c>
      <c r="I578" s="73">
        <f t="shared" si="576"/>
        <v>0</v>
      </c>
      <c r="J578" s="74">
        <v>22</v>
      </c>
      <c r="K578" s="57">
        <f t="shared" si="577"/>
        <v>0</v>
      </c>
      <c r="L578" s="75">
        <f t="shared" si="578"/>
        <v>0</v>
      </c>
      <c r="M578" s="76">
        <f t="shared" si="579"/>
        <v>0</v>
      </c>
      <c r="N578" s="76">
        <f t="shared" si="580"/>
        <v>0</v>
      </c>
      <c r="O578" s="77">
        <f t="shared" si="581"/>
        <v>0</v>
      </c>
      <c r="P578" s="77">
        <f t="shared" si="582"/>
        <v>0</v>
      </c>
      <c r="Q578" s="76">
        <f t="shared" si="583"/>
        <v>0</v>
      </c>
      <c r="R578" s="76">
        <f t="shared" si="584"/>
        <v>0</v>
      </c>
      <c r="S578" s="57">
        <f t="shared" si="585"/>
        <v>0</v>
      </c>
    </row>
    <row r="579" spans="1:19" x14ac:dyDescent="0.4">
      <c r="A579" s="57"/>
      <c r="B579" s="57" t="str">
        <f t="shared" si="586"/>
        <v>RIN103356</v>
      </c>
      <c r="C579" s="57"/>
      <c r="D579" s="57"/>
      <c r="E579" s="71"/>
      <c r="F579" s="71">
        <f t="shared" si="587"/>
        <v>92</v>
      </c>
      <c r="G579" s="72">
        <f t="shared" si="588"/>
        <v>0</v>
      </c>
      <c r="H579" s="57">
        <f t="shared" si="575"/>
        <v>0</v>
      </c>
      <c r="I579" s="73">
        <f t="shared" si="576"/>
        <v>0</v>
      </c>
      <c r="J579" s="74">
        <v>22</v>
      </c>
      <c r="K579" s="57">
        <f t="shared" si="577"/>
        <v>0</v>
      </c>
      <c r="L579" s="75">
        <f t="shared" si="578"/>
        <v>0</v>
      </c>
      <c r="M579" s="76">
        <f t="shared" si="579"/>
        <v>0</v>
      </c>
      <c r="N579" s="76">
        <f t="shared" si="580"/>
        <v>0</v>
      </c>
      <c r="O579" s="77">
        <f t="shared" si="581"/>
        <v>0</v>
      </c>
      <c r="P579" s="77">
        <f t="shared" si="582"/>
        <v>0</v>
      </c>
      <c r="Q579" s="76">
        <f t="shared" si="583"/>
        <v>0</v>
      </c>
      <c r="R579" s="76">
        <f t="shared" si="584"/>
        <v>0</v>
      </c>
      <c r="S579" s="57">
        <f t="shared" si="585"/>
        <v>0</v>
      </c>
    </row>
    <row r="580" spans="1:19" x14ac:dyDescent="0.4">
      <c r="A580" s="57"/>
      <c r="B580" s="57" t="str">
        <f t="shared" si="586"/>
        <v>RIN103356</v>
      </c>
      <c r="C580" s="57"/>
      <c r="D580" s="57"/>
      <c r="E580" s="57"/>
      <c r="F580" s="71">
        <f t="shared" si="587"/>
        <v>122</v>
      </c>
      <c r="G580" s="72">
        <f t="shared" si="588"/>
        <v>0</v>
      </c>
      <c r="H580" s="57">
        <f t="shared" si="575"/>
        <v>0</v>
      </c>
      <c r="I580" s="73">
        <f t="shared" si="576"/>
        <v>0</v>
      </c>
      <c r="J580" s="74">
        <v>22</v>
      </c>
      <c r="K580" s="57">
        <f t="shared" si="577"/>
        <v>0</v>
      </c>
      <c r="L580" s="75">
        <f t="shared" si="578"/>
        <v>0</v>
      </c>
      <c r="M580" s="76">
        <f t="shared" si="579"/>
        <v>0</v>
      </c>
      <c r="N580" s="76">
        <f t="shared" si="580"/>
        <v>0</v>
      </c>
      <c r="O580" s="77">
        <f t="shared" si="581"/>
        <v>0</v>
      </c>
      <c r="P580" s="77">
        <f t="shared" si="582"/>
        <v>0</v>
      </c>
      <c r="Q580" s="76">
        <f t="shared" si="583"/>
        <v>0</v>
      </c>
      <c r="R580" s="76">
        <f t="shared" si="584"/>
        <v>0</v>
      </c>
      <c r="S580" s="57">
        <f t="shared" si="585"/>
        <v>0</v>
      </c>
    </row>
    <row r="581" spans="1:19" x14ac:dyDescent="0.4">
      <c r="A581" s="57"/>
      <c r="B581" s="57" t="str">
        <f t="shared" si="586"/>
        <v>RIN103356</v>
      </c>
      <c r="C581" s="71"/>
      <c r="D581" s="57"/>
      <c r="E581" s="57"/>
      <c r="F581" s="71">
        <f t="shared" si="587"/>
        <v>153</v>
      </c>
      <c r="G581" s="72">
        <f t="shared" si="588"/>
        <v>0</v>
      </c>
      <c r="H581" s="57">
        <f t="shared" si="575"/>
        <v>0</v>
      </c>
      <c r="I581" s="73">
        <f t="shared" si="576"/>
        <v>0</v>
      </c>
      <c r="J581" s="74">
        <v>22</v>
      </c>
      <c r="K581" s="57">
        <f t="shared" si="577"/>
        <v>0</v>
      </c>
      <c r="L581" s="75">
        <f t="shared" si="578"/>
        <v>0</v>
      </c>
      <c r="M581" s="76">
        <f t="shared" si="579"/>
        <v>0</v>
      </c>
      <c r="N581" s="76">
        <f t="shared" si="580"/>
        <v>0</v>
      </c>
      <c r="O581" s="77">
        <f t="shared" si="581"/>
        <v>0</v>
      </c>
      <c r="P581" s="77">
        <f t="shared" si="582"/>
        <v>0</v>
      </c>
      <c r="Q581" s="76">
        <f t="shared" si="583"/>
        <v>0</v>
      </c>
      <c r="R581" s="76">
        <f t="shared" si="584"/>
        <v>0</v>
      </c>
      <c r="S581" s="57">
        <f t="shared" si="585"/>
        <v>0</v>
      </c>
    </row>
    <row r="582" spans="1:19" x14ac:dyDescent="0.4">
      <c r="A582" s="57"/>
      <c r="B582" s="57" t="str">
        <f t="shared" si="586"/>
        <v>RIN103356</v>
      </c>
      <c r="C582" s="57"/>
      <c r="D582" s="57"/>
      <c r="E582" s="57"/>
      <c r="F582" s="71">
        <f t="shared" si="587"/>
        <v>183</v>
      </c>
      <c r="G582" s="72">
        <f t="shared" si="588"/>
        <v>0</v>
      </c>
      <c r="H582" s="57">
        <f t="shared" si="575"/>
        <v>0</v>
      </c>
      <c r="I582" s="73">
        <f t="shared" si="576"/>
        <v>0</v>
      </c>
      <c r="J582" s="74">
        <v>22</v>
      </c>
      <c r="K582" s="57">
        <f t="shared" si="577"/>
        <v>0</v>
      </c>
      <c r="L582" s="75">
        <f t="shared" si="578"/>
        <v>0</v>
      </c>
      <c r="M582" s="76">
        <f t="shared" si="579"/>
        <v>0</v>
      </c>
      <c r="N582" s="76">
        <f t="shared" si="580"/>
        <v>0</v>
      </c>
      <c r="O582" s="77">
        <f t="shared" si="581"/>
        <v>0</v>
      </c>
      <c r="P582" s="77">
        <f t="shared" si="582"/>
        <v>0</v>
      </c>
      <c r="Q582" s="76">
        <f t="shared" si="583"/>
        <v>0</v>
      </c>
      <c r="R582" s="76">
        <f t="shared" si="584"/>
        <v>0</v>
      </c>
      <c r="S582" s="57">
        <f t="shared" si="585"/>
        <v>0</v>
      </c>
    </row>
    <row r="583" spans="1:19" x14ac:dyDescent="0.4">
      <c r="A583" s="57"/>
      <c r="B583" s="57" t="str">
        <f t="shared" si="586"/>
        <v>RIN103356</v>
      </c>
      <c r="C583" s="57"/>
      <c r="D583" s="57"/>
      <c r="E583" s="57"/>
      <c r="F583" s="71">
        <f t="shared" si="587"/>
        <v>214</v>
      </c>
      <c r="G583" s="72">
        <f t="shared" si="588"/>
        <v>0</v>
      </c>
      <c r="H583" s="57">
        <f t="shared" si="575"/>
        <v>0</v>
      </c>
      <c r="I583" s="73">
        <f t="shared" si="576"/>
        <v>0</v>
      </c>
      <c r="J583" s="74">
        <v>22</v>
      </c>
      <c r="K583" s="57">
        <f t="shared" si="577"/>
        <v>0</v>
      </c>
      <c r="L583" s="75">
        <f t="shared" si="578"/>
        <v>0</v>
      </c>
      <c r="M583" s="76">
        <f t="shared" si="579"/>
        <v>0</v>
      </c>
      <c r="N583" s="76">
        <f t="shared" si="580"/>
        <v>0</v>
      </c>
      <c r="O583" s="77">
        <f t="shared" si="581"/>
        <v>0</v>
      </c>
      <c r="P583" s="77">
        <f t="shared" si="582"/>
        <v>0</v>
      </c>
      <c r="Q583" s="76">
        <f t="shared" si="583"/>
        <v>0</v>
      </c>
      <c r="R583" s="76">
        <f t="shared" si="584"/>
        <v>0</v>
      </c>
      <c r="S583" s="57">
        <f t="shared" si="585"/>
        <v>0</v>
      </c>
    </row>
    <row r="584" spans="1:19" x14ac:dyDescent="0.4">
      <c r="A584" s="57"/>
      <c r="B584" s="57" t="str">
        <f t="shared" si="586"/>
        <v>RIN103356</v>
      </c>
      <c r="C584" s="57"/>
      <c r="D584" s="79"/>
      <c r="E584" s="57"/>
      <c r="F584" s="71">
        <f t="shared" si="587"/>
        <v>245</v>
      </c>
      <c r="G584" s="72">
        <f t="shared" si="588"/>
        <v>0</v>
      </c>
      <c r="H584" s="57">
        <f t="shared" si="575"/>
        <v>0</v>
      </c>
      <c r="I584" s="73">
        <f t="shared" si="576"/>
        <v>0</v>
      </c>
      <c r="J584" s="74">
        <v>22</v>
      </c>
      <c r="K584" s="57">
        <f t="shared" si="577"/>
        <v>0</v>
      </c>
      <c r="L584" s="75">
        <f t="shared" si="578"/>
        <v>0</v>
      </c>
      <c r="M584" s="76">
        <f t="shared" si="579"/>
        <v>0</v>
      </c>
      <c r="N584" s="76">
        <f t="shared" si="580"/>
        <v>0</v>
      </c>
      <c r="O584" s="77">
        <f t="shared" si="581"/>
        <v>0</v>
      </c>
      <c r="P584" s="77">
        <f t="shared" si="582"/>
        <v>0</v>
      </c>
      <c r="Q584" s="76">
        <f t="shared" si="583"/>
        <v>0</v>
      </c>
      <c r="R584" s="76">
        <f t="shared" si="584"/>
        <v>0</v>
      </c>
      <c r="S584" s="57">
        <f t="shared" si="585"/>
        <v>0</v>
      </c>
    </row>
    <row r="585" spans="1:19" x14ac:dyDescent="0.4">
      <c r="A585" s="57"/>
      <c r="B585" s="57" t="str">
        <f t="shared" si="586"/>
        <v>RIN103356</v>
      </c>
      <c r="C585" s="57"/>
      <c r="D585" s="79"/>
      <c r="E585" s="57"/>
      <c r="F585" s="71">
        <f t="shared" si="587"/>
        <v>275</v>
      </c>
      <c r="G585" s="72">
        <f t="shared" si="588"/>
        <v>0</v>
      </c>
      <c r="H585" s="57">
        <f t="shared" si="575"/>
        <v>0</v>
      </c>
      <c r="I585" s="73">
        <f t="shared" si="576"/>
        <v>0</v>
      </c>
      <c r="J585" s="74">
        <v>22</v>
      </c>
      <c r="K585" s="57">
        <f t="shared" si="577"/>
        <v>0</v>
      </c>
      <c r="L585" s="75">
        <f t="shared" si="578"/>
        <v>0</v>
      </c>
      <c r="M585" s="76">
        <f t="shared" si="579"/>
        <v>0</v>
      </c>
      <c r="N585" s="76">
        <f t="shared" si="580"/>
        <v>0</v>
      </c>
      <c r="O585" s="77">
        <f t="shared" si="581"/>
        <v>0</v>
      </c>
      <c r="P585" s="77">
        <f t="shared" si="582"/>
        <v>0</v>
      </c>
      <c r="Q585" s="76">
        <f t="shared" si="583"/>
        <v>0</v>
      </c>
      <c r="R585" s="76">
        <f t="shared" si="584"/>
        <v>0</v>
      </c>
      <c r="S585" s="57">
        <f t="shared" si="585"/>
        <v>0</v>
      </c>
    </row>
    <row r="586" spans="1:19" x14ac:dyDescent="0.4">
      <c r="A586" s="57"/>
      <c r="B586" s="57" t="str">
        <f t="shared" si="586"/>
        <v>RIN103356</v>
      </c>
      <c r="C586" s="57"/>
      <c r="D586" s="57"/>
      <c r="E586" s="57"/>
      <c r="F586" s="71">
        <f t="shared" si="587"/>
        <v>306</v>
      </c>
      <c r="G586" s="72">
        <f t="shared" si="588"/>
        <v>0</v>
      </c>
      <c r="H586" s="57">
        <f t="shared" si="575"/>
        <v>0</v>
      </c>
      <c r="I586" s="73">
        <f t="shared" si="576"/>
        <v>0</v>
      </c>
      <c r="J586" s="74">
        <v>22</v>
      </c>
      <c r="K586" s="57">
        <f t="shared" si="577"/>
        <v>0</v>
      </c>
      <c r="L586" s="75">
        <f t="shared" si="578"/>
        <v>0</v>
      </c>
      <c r="M586" s="76">
        <f t="shared" si="579"/>
        <v>0</v>
      </c>
      <c r="N586" s="76">
        <f t="shared" si="580"/>
        <v>0</v>
      </c>
      <c r="O586" s="77">
        <f t="shared" si="581"/>
        <v>0</v>
      </c>
      <c r="P586" s="77">
        <f t="shared" si="582"/>
        <v>0</v>
      </c>
      <c r="Q586" s="76">
        <f t="shared" si="583"/>
        <v>0</v>
      </c>
      <c r="R586" s="76">
        <f t="shared" si="584"/>
        <v>0</v>
      </c>
      <c r="S586" s="57">
        <f t="shared" si="585"/>
        <v>0</v>
      </c>
    </row>
    <row r="587" spans="1:19" x14ac:dyDescent="0.4">
      <c r="A587" s="57"/>
      <c r="B587" s="57" t="str">
        <f t="shared" si="586"/>
        <v>RIN103356</v>
      </c>
      <c r="C587" s="57"/>
      <c r="D587" s="57"/>
      <c r="E587" s="57"/>
      <c r="F587" s="71">
        <f t="shared" si="587"/>
        <v>336</v>
      </c>
      <c r="G587" s="72">
        <f t="shared" si="588"/>
        <v>0</v>
      </c>
      <c r="H587" s="57">
        <f t="shared" si="575"/>
        <v>0</v>
      </c>
      <c r="I587" s="73">
        <f t="shared" si="576"/>
        <v>0</v>
      </c>
      <c r="J587" s="74">
        <v>22</v>
      </c>
      <c r="K587" s="57">
        <f t="shared" si="577"/>
        <v>0</v>
      </c>
      <c r="L587" s="75">
        <f t="shared" si="578"/>
        <v>0</v>
      </c>
      <c r="M587" s="76">
        <f t="shared" si="579"/>
        <v>0</v>
      </c>
      <c r="N587" s="76">
        <f t="shared" si="580"/>
        <v>0</v>
      </c>
      <c r="O587" s="77">
        <f t="shared" si="581"/>
        <v>0</v>
      </c>
      <c r="P587" s="77">
        <f t="shared" si="582"/>
        <v>0</v>
      </c>
      <c r="Q587" s="76">
        <f t="shared" si="583"/>
        <v>0</v>
      </c>
      <c r="R587" s="76">
        <f t="shared" si="584"/>
        <v>0</v>
      </c>
      <c r="S587" s="57">
        <f t="shared" si="585"/>
        <v>0</v>
      </c>
    </row>
    <row r="588" spans="1:19" x14ac:dyDescent="0.4">
      <c r="A588" s="57"/>
      <c r="B588" s="57" t="str">
        <f t="shared" si="586"/>
        <v>RIN103356</v>
      </c>
      <c r="C588" s="57"/>
      <c r="D588" s="57"/>
      <c r="E588" s="57"/>
      <c r="F588" s="71">
        <f t="shared" si="587"/>
        <v>367</v>
      </c>
      <c r="G588" s="72">
        <f t="shared" si="588"/>
        <v>0</v>
      </c>
      <c r="H588" s="57">
        <f t="shared" si="575"/>
        <v>0</v>
      </c>
      <c r="I588" s="73">
        <f t="shared" si="576"/>
        <v>0</v>
      </c>
      <c r="J588" s="74">
        <v>22</v>
      </c>
      <c r="K588" s="57">
        <f t="shared" si="577"/>
        <v>0</v>
      </c>
      <c r="L588" s="75">
        <f t="shared" si="578"/>
        <v>0</v>
      </c>
      <c r="M588" s="76">
        <f t="shared" si="579"/>
        <v>0</v>
      </c>
      <c r="N588" s="76">
        <f t="shared" si="580"/>
        <v>0</v>
      </c>
      <c r="O588" s="77">
        <f t="shared" si="581"/>
        <v>0</v>
      </c>
      <c r="P588" s="77">
        <f t="shared" si="582"/>
        <v>0</v>
      </c>
      <c r="Q588" s="76">
        <f t="shared" si="583"/>
        <v>0</v>
      </c>
      <c r="R588" s="76">
        <f t="shared" si="584"/>
        <v>0</v>
      </c>
      <c r="S588" s="57">
        <f t="shared" si="585"/>
        <v>0</v>
      </c>
    </row>
    <row r="589" spans="1:19" x14ac:dyDescent="0.4">
      <c r="B589" s="57"/>
    </row>
    <row r="590" spans="1:19" ht="123" customHeight="1" x14ac:dyDescent="0.4">
      <c r="A590" s="69" t="s">
        <v>11</v>
      </c>
      <c r="B590" s="69" t="s">
        <v>11</v>
      </c>
      <c r="C590" s="69" t="s">
        <v>155</v>
      </c>
      <c r="D590" s="69" t="s">
        <v>158</v>
      </c>
      <c r="E590" s="69" t="s">
        <v>185</v>
      </c>
      <c r="F590" s="69" t="s">
        <v>186</v>
      </c>
      <c r="G590" s="70" t="s">
        <v>156</v>
      </c>
      <c r="H590" s="69" t="s">
        <v>187</v>
      </c>
      <c r="I590" s="69" t="s">
        <v>188</v>
      </c>
      <c r="J590" s="69" t="s">
        <v>158</v>
      </c>
      <c r="K590" s="69" t="s">
        <v>159</v>
      </c>
      <c r="L590" s="69" t="s">
        <v>160</v>
      </c>
      <c r="M590" s="69" t="s">
        <v>161</v>
      </c>
      <c r="N590" s="69" t="s">
        <v>162</v>
      </c>
      <c r="O590" s="69" t="s">
        <v>163</v>
      </c>
      <c r="P590" s="69" t="s">
        <v>164</v>
      </c>
      <c r="Q590" s="69" t="s">
        <v>165</v>
      </c>
      <c r="R590" s="69" t="s">
        <v>166</v>
      </c>
      <c r="S590" s="69" t="s">
        <v>189</v>
      </c>
    </row>
    <row r="591" spans="1:19" x14ac:dyDescent="0.4">
      <c r="A591" s="57">
        <f>+A577+1</f>
        <v>43</v>
      </c>
      <c r="B591" s="57" t="str">
        <f>INDEX('sale resgister'!B:B,A591+1,1)</f>
        <v>RIN103355</v>
      </c>
      <c r="C591" s="71">
        <f>+VLOOKUP(B591,'sale resgister'!B:J,9,0)</f>
        <v>45972</v>
      </c>
      <c r="D591" s="79" t="str">
        <f>+VLOOKUP(B591,'sale resgister'!B:J,2,0)</f>
        <v>Batch 3</v>
      </c>
      <c r="E591" s="96">
        <f>IF(C591=0,0,VLOOKUP(B591,'sale resgister'!B:J,4,0))</f>
        <v>3.23</v>
      </c>
      <c r="F591" s="71">
        <f>DATE(YEAR(C591),MONTH(C591)+1,1)</f>
        <v>45992</v>
      </c>
      <c r="G591" s="72">
        <f>E591</f>
        <v>3.23</v>
      </c>
      <c r="H591" s="57">
        <f t="shared" ref="H591:H602" si="589">ROUND(+G591*$H$1,3)</f>
        <v>0.22600000000000001</v>
      </c>
      <c r="I591" s="73">
        <f t="shared" ref="I591:I602" si="590">IFERROR(+VLOOKUP(F591,$W$3:$X$15,2,0),0)</f>
        <v>13220</v>
      </c>
      <c r="J591" s="74">
        <v>22</v>
      </c>
      <c r="K591" s="57">
        <f t="shared" ref="K591:K602" si="591">ROUND(+H591*97%,3)</f>
        <v>0.219</v>
      </c>
      <c r="L591" s="75">
        <f t="shared" ref="L591:L602" si="592">(K591-H591*92%)*I591</f>
        <v>146.47759999999971</v>
      </c>
      <c r="M591" s="76">
        <f t="shared" ref="M591:M602" si="593">ROUND(I591*92%*H591,2)</f>
        <v>2748.7</v>
      </c>
      <c r="N591" s="76">
        <f t="shared" ref="N591:N602" si="594">ROUND(+M591*0.11,2)</f>
        <v>302.36</v>
      </c>
      <c r="O591" s="77">
        <f t="shared" ref="O591:O602" si="595">+N591-L591</f>
        <v>155.8824000000003</v>
      </c>
      <c r="P591" s="77">
        <f t="shared" ref="P591:P602" si="596">ROUND(+O591*15%,2)</f>
        <v>23.38</v>
      </c>
      <c r="Q591" s="76">
        <f t="shared" ref="Q591:Q602" si="597">ROUND(+(O591-P591)*60%,2)</f>
        <v>79.5</v>
      </c>
      <c r="R591" s="76">
        <f t="shared" ref="R591:R602" si="598">ROUND(+(O591-P591)*40%,2)</f>
        <v>53</v>
      </c>
      <c r="S591" s="57">
        <f t="shared" ref="S591:S602" si="599">IFERROR(ROUND(+Q591/(I591/92%),3),0)</f>
        <v>6.0000000000000001E-3</v>
      </c>
    </row>
    <row r="592" spans="1:19" x14ac:dyDescent="0.4">
      <c r="A592" s="57"/>
      <c r="B592" s="57" t="str">
        <f t="shared" ref="B592:B602" si="600">+B591</f>
        <v>RIN103355</v>
      </c>
      <c r="C592" s="57"/>
      <c r="D592" s="57"/>
      <c r="E592" s="57"/>
      <c r="F592" s="71">
        <f t="shared" ref="F592:F602" si="601">IF(+DATE(YEAR(F591),MONTH(F591)+1,1)&gt;$G$1+1,0,+DATE(YEAR(F591),MONTH(F591)+1,1))</f>
        <v>46023</v>
      </c>
      <c r="G592" s="72">
        <f t="shared" ref="G592:G602" si="602">ROUND(IF(F592=0,0,(G591+S591)),3)</f>
        <v>3.2360000000000002</v>
      </c>
      <c r="H592" s="57">
        <f t="shared" si="589"/>
        <v>0.22700000000000001</v>
      </c>
      <c r="I592" s="73">
        <f t="shared" si="590"/>
        <v>13790</v>
      </c>
      <c r="J592" s="74">
        <v>22</v>
      </c>
      <c r="K592" s="57">
        <f t="shared" si="591"/>
        <v>0.22</v>
      </c>
      <c r="L592" s="75">
        <f t="shared" si="592"/>
        <v>153.89639999999966</v>
      </c>
      <c r="M592" s="76">
        <f t="shared" si="593"/>
        <v>2879.9</v>
      </c>
      <c r="N592" s="76">
        <f t="shared" si="594"/>
        <v>316.79000000000002</v>
      </c>
      <c r="O592" s="77">
        <f t="shared" si="595"/>
        <v>162.89360000000036</v>
      </c>
      <c r="P592" s="77">
        <f t="shared" si="596"/>
        <v>24.43</v>
      </c>
      <c r="Q592" s="76">
        <f t="shared" si="597"/>
        <v>83.08</v>
      </c>
      <c r="R592" s="76">
        <f t="shared" si="598"/>
        <v>55.39</v>
      </c>
      <c r="S592" s="57">
        <f t="shared" si="599"/>
        <v>6.0000000000000001E-3</v>
      </c>
    </row>
    <row r="593" spans="1:19" x14ac:dyDescent="0.4">
      <c r="A593" s="57"/>
      <c r="B593" s="57" t="str">
        <f t="shared" si="600"/>
        <v>RIN103355</v>
      </c>
      <c r="C593" s="57"/>
      <c r="D593" s="57"/>
      <c r="E593" s="71"/>
      <c r="F593" s="71">
        <f t="shared" si="601"/>
        <v>46054</v>
      </c>
      <c r="G593" s="72">
        <f t="shared" si="602"/>
        <v>3.242</v>
      </c>
      <c r="H593" s="57">
        <f t="shared" si="589"/>
        <v>0.22700000000000001</v>
      </c>
      <c r="I593" s="73">
        <f t="shared" si="590"/>
        <v>15760</v>
      </c>
      <c r="J593" s="74">
        <v>22</v>
      </c>
      <c r="K593" s="57">
        <f t="shared" si="591"/>
        <v>0.22</v>
      </c>
      <c r="L593" s="75">
        <f t="shared" si="592"/>
        <v>175.88159999999962</v>
      </c>
      <c r="M593" s="76">
        <f t="shared" si="593"/>
        <v>3291.32</v>
      </c>
      <c r="N593" s="76">
        <f t="shared" si="594"/>
        <v>362.05</v>
      </c>
      <c r="O593" s="77">
        <f t="shared" si="595"/>
        <v>186.16840000000039</v>
      </c>
      <c r="P593" s="77">
        <f t="shared" si="596"/>
        <v>27.93</v>
      </c>
      <c r="Q593" s="76">
        <f t="shared" si="597"/>
        <v>94.94</v>
      </c>
      <c r="R593" s="76">
        <f t="shared" si="598"/>
        <v>63.3</v>
      </c>
      <c r="S593" s="57">
        <f t="shared" si="599"/>
        <v>6.0000000000000001E-3</v>
      </c>
    </row>
    <row r="594" spans="1:19" x14ac:dyDescent="0.4">
      <c r="A594" s="57"/>
      <c r="B594" s="57" t="str">
        <f t="shared" si="600"/>
        <v>RIN103355</v>
      </c>
      <c r="C594" s="57"/>
      <c r="D594" s="57"/>
      <c r="E594" s="57"/>
      <c r="F594" s="71">
        <f t="shared" si="601"/>
        <v>46082</v>
      </c>
      <c r="G594" s="72">
        <f t="shared" si="602"/>
        <v>3.2480000000000002</v>
      </c>
      <c r="H594" s="57">
        <f t="shared" si="589"/>
        <v>0.22700000000000001</v>
      </c>
      <c r="I594" s="73">
        <f t="shared" si="590"/>
        <v>17200</v>
      </c>
      <c r="J594" s="74">
        <v>22</v>
      </c>
      <c r="K594" s="57">
        <f t="shared" si="591"/>
        <v>0.22</v>
      </c>
      <c r="L594" s="75">
        <f t="shared" si="592"/>
        <v>191.95199999999957</v>
      </c>
      <c r="M594" s="76">
        <f t="shared" si="593"/>
        <v>3592.05</v>
      </c>
      <c r="N594" s="76">
        <f t="shared" si="594"/>
        <v>395.13</v>
      </c>
      <c r="O594" s="77">
        <f t="shared" si="595"/>
        <v>203.17800000000042</v>
      </c>
      <c r="P594" s="77">
        <f t="shared" si="596"/>
        <v>30.48</v>
      </c>
      <c r="Q594" s="76">
        <f t="shared" si="597"/>
        <v>103.62</v>
      </c>
      <c r="R594" s="76">
        <f t="shared" si="598"/>
        <v>69.08</v>
      </c>
      <c r="S594" s="57">
        <f t="shared" si="599"/>
        <v>6.0000000000000001E-3</v>
      </c>
    </row>
    <row r="595" spans="1:19" x14ac:dyDescent="0.4">
      <c r="A595" s="57"/>
      <c r="B595" s="57" t="str">
        <f t="shared" si="600"/>
        <v>RIN103355</v>
      </c>
      <c r="C595" s="71"/>
      <c r="D595" s="57"/>
      <c r="E595" s="57"/>
      <c r="F595" s="71">
        <f t="shared" si="601"/>
        <v>46113</v>
      </c>
      <c r="G595" s="72">
        <f t="shared" si="602"/>
        <v>3.254</v>
      </c>
      <c r="H595" s="57">
        <f t="shared" si="589"/>
        <v>0.22800000000000001</v>
      </c>
      <c r="I595" s="73">
        <f t="shared" si="590"/>
        <v>15450</v>
      </c>
      <c r="J595" s="74">
        <v>22</v>
      </c>
      <c r="K595" s="57">
        <f t="shared" si="591"/>
        <v>0.221</v>
      </c>
      <c r="L595" s="75">
        <f t="shared" si="592"/>
        <v>173.65799999999956</v>
      </c>
      <c r="M595" s="76">
        <f t="shared" si="593"/>
        <v>3240.79</v>
      </c>
      <c r="N595" s="76">
        <f t="shared" si="594"/>
        <v>356.49</v>
      </c>
      <c r="O595" s="77">
        <f t="shared" si="595"/>
        <v>182.83200000000045</v>
      </c>
      <c r="P595" s="77">
        <f t="shared" si="596"/>
        <v>27.42</v>
      </c>
      <c r="Q595" s="76">
        <f t="shared" si="597"/>
        <v>93.25</v>
      </c>
      <c r="R595" s="76">
        <f t="shared" si="598"/>
        <v>62.16</v>
      </c>
      <c r="S595" s="57">
        <f t="shared" si="599"/>
        <v>6.0000000000000001E-3</v>
      </c>
    </row>
    <row r="596" spans="1:19" x14ac:dyDescent="0.4">
      <c r="A596" s="57"/>
      <c r="B596" s="57" t="str">
        <f t="shared" si="600"/>
        <v>RIN103355</v>
      </c>
      <c r="C596" s="57"/>
      <c r="D596" s="57"/>
      <c r="E596" s="57"/>
      <c r="F596" s="71">
        <f t="shared" si="601"/>
        <v>0</v>
      </c>
      <c r="G596" s="72">
        <f t="shared" si="602"/>
        <v>0</v>
      </c>
      <c r="H596" s="57">
        <f t="shared" si="589"/>
        <v>0</v>
      </c>
      <c r="I596" s="73">
        <f t="shared" si="590"/>
        <v>0</v>
      </c>
      <c r="J596" s="74">
        <v>22</v>
      </c>
      <c r="K596" s="57">
        <f t="shared" si="591"/>
        <v>0</v>
      </c>
      <c r="L596" s="75">
        <f t="shared" si="592"/>
        <v>0</v>
      </c>
      <c r="M596" s="76">
        <f t="shared" si="593"/>
        <v>0</v>
      </c>
      <c r="N596" s="76">
        <f t="shared" si="594"/>
        <v>0</v>
      </c>
      <c r="O596" s="77">
        <f t="shared" si="595"/>
        <v>0</v>
      </c>
      <c r="P596" s="77">
        <f t="shared" si="596"/>
        <v>0</v>
      </c>
      <c r="Q596" s="76">
        <f t="shared" si="597"/>
        <v>0</v>
      </c>
      <c r="R596" s="76">
        <f t="shared" si="598"/>
        <v>0</v>
      </c>
      <c r="S596" s="57">
        <f t="shared" si="599"/>
        <v>0</v>
      </c>
    </row>
    <row r="597" spans="1:19" x14ac:dyDescent="0.4">
      <c r="A597" s="57"/>
      <c r="B597" s="57" t="str">
        <f t="shared" si="600"/>
        <v>RIN103355</v>
      </c>
      <c r="C597" s="57"/>
      <c r="D597" s="57"/>
      <c r="E597" s="57"/>
      <c r="F597" s="71">
        <f t="shared" si="601"/>
        <v>32</v>
      </c>
      <c r="G597" s="72">
        <f t="shared" si="602"/>
        <v>0</v>
      </c>
      <c r="H597" s="57">
        <f t="shared" si="589"/>
        <v>0</v>
      </c>
      <c r="I597" s="73">
        <f t="shared" si="590"/>
        <v>0</v>
      </c>
      <c r="J597" s="74">
        <v>22</v>
      </c>
      <c r="K597" s="57">
        <f t="shared" si="591"/>
        <v>0</v>
      </c>
      <c r="L597" s="75">
        <f t="shared" si="592"/>
        <v>0</v>
      </c>
      <c r="M597" s="76">
        <f t="shared" si="593"/>
        <v>0</v>
      </c>
      <c r="N597" s="76">
        <f t="shared" si="594"/>
        <v>0</v>
      </c>
      <c r="O597" s="77">
        <f t="shared" si="595"/>
        <v>0</v>
      </c>
      <c r="P597" s="77">
        <f t="shared" si="596"/>
        <v>0</v>
      </c>
      <c r="Q597" s="76">
        <f t="shared" si="597"/>
        <v>0</v>
      </c>
      <c r="R597" s="76">
        <f t="shared" si="598"/>
        <v>0</v>
      </c>
      <c r="S597" s="57">
        <f t="shared" si="599"/>
        <v>0</v>
      </c>
    </row>
    <row r="598" spans="1:19" x14ac:dyDescent="0.4">
      <c r="A598" s="57"/>
      <c r="B598" s="57" t="str">
        <f t="shared" si="600"/>
        <v>RIN103355</v>
      </c>
      <c r="C598" s="57"/>
      <c r="D598" s="79"/>
      <c r="E598" s="57"/>
      <c r="F598" s="71">
        <f t="shared" si="601"/>
        <v>61</v>
      </c>
      <c r="G598" s="72">
        <f t="shared" si="602"/>
        <v>0</v>
      </c>
      <c r="H598" s="57">
        <f t="shared" si="589"/>
        <v>0</v>
      </c>
      <c r="I598" s="73">
        <f t="shared" si="590"/>
        <v>0</v>
      </c>
      <c r="J598" s="74">
        <v>22</v>
      </c>
      <c r="K598" s="57">
        <f t="shared" si="591"/>
        <v>0</v>
      </c>
      <c r="L598" s="75">
        <f t="shared" si="592"/>
        <v>0</v>
      </c>
      <c r="M598" s="76">
        <f t="shared" si="593"/>
        <v>0</v>
      </c>
      <c r="N598" s="76">
        <f t="shared" si="594"/>
        <v>0</v>
      </c>
      <c r="O598" s="77">
        <f t="shared" si="595"/>
        <v>0</v>
      </c>
      <c r="P598" s="77">
        <f t="shared" si="596"/>
        <v>0</v>
      </c>
      <c r="Q598" s="76">
        <f t="shared" si="597"/>
        <v>0</v>
      </c>
      <c r="R598" s="76">
        <f t="shared" si="598"/>
        <v>0</v>
      </c>
      <c r="S598" s="57">
        <f t="shared" si="599"/>
        <v>0</v>
      </c>
    </row>
    <row r="599" spans="1:19" x14ac:dyDescent="0.4">
      <c r="A599" s="57"/>
      <c r="B599" s="57" t="str">
        <f t="shared" si="600"/>
        <v>RIN103355</v>
      </c>
      <c r="C599" s="57"/>
      <c r="D599" s="79"/>
      <c r="E599" s="57"/>
      <c r="F599" s="71">
        <f t="shared" si="601"/>
        <v>92</v>
      </c>
      <c r="G599" s="72">
        <f t="shared" si="602"/>
        <v>0</v>
      </c>
      <c r="H599" s="57">
        <f t="shared" si="589"/>
        <v>0</v>
      </c>
      <c r="I599" s="73">
        <f t="shared" si="590"/>
        <v>0</v>
      </c>
      <c r="J599" s="74">
        <v>22</v>
      </c>
      <c r="K599" s="57">
        <f t="shared" si="591"/>
        <v>0</v>
      </c>
      <c r="L599" s="75">
        <f t="shared" si="592"/>
        <v>0</v>
      </c>
      <c r="M599" s="76">
        <f t="shared" si="593"/>
        <v>0</v>
      </c>
      <c r="N599" s="76">
        <f t="shared" si="594"/>
        <v>0</v>
      </c>
      <c r="O599" s="77">
        <f t="shared" si="595"/>
        <v>0</v>
      </c>
      <c r="P599" s="77">
        <f t="shared" si="596"/>
        <v>0</v>
      </c>
      <c r="Q599" s="76">
        <f t="shared" si="597"/>
        <v>0</v>
      </c>
      <c r="R599" s="76">
        <f t="shared" si="598"/>
        <v>0</v>
      </c>
      <c r="S599" s="57">
        <f t="shared" si="599"/>
        <v>0</v>
      </c>
    </row>
    <row r="600" spans="1:19" x14ac:dyDescent="0.4">
      <c r="A600" s="57"/>
      <c r="B600" s="57" t="str">
        <f t="shared" si="600"/>
        <v>RIN103355</v>
      </c>
      <c r="C600" s="57"/>
      <c r="D600" s="57"/>
      <c r="E600" s="57"/>
      <c r="F600" s="71">
        <f t="shared" si="601"/>
        <v>122</v>
      </c>
      <c r="G600" s="72">
        <f t="shared" si="602"/>
        <v>0</v>
      </c>
      <c r="H600" s="57">
        <f t="shared" si="589"/>
        <v>0</v>
      </c>
      <c r="I600" s="73">
        <f t="shared" si="590"/>
        <v>0</v>
      </c>
      <c r="J600" s="74">
        <v>22</v>
      </c>
      <c r="K600" s="57">
        <f t="shared" si="591"/>
        <v>0</v>
      </c>
      <c r="L600" s="75">
        <f t="shared" si="592"/>
        <v>0</v>
      </c>
      <c r="M600" s="76">
        <f t="shared" si="593"/>
        <v>0</v>
      </c>
      <c r="N600" s="76">
        <f t="shared" si="594"/>
        <v>0</v>
      </c>
      <c r="O600" s="77">
        <f t="shared" si="595"/>
        <v>0</v>
      </c>
      <c r="P600" s="77">
        <f t="shared" si="596"/>
        <v>0</v>
      </c>
      <c r="Q600" s="76">
        <f t="shared" si="597"/>
        <v>0</v>
      </c>
      <c r="R600" s="76">
        <f t="shared" si="598"/>
        <v>0</v>
      </c>
      <c r="S600" s="57">
        <f t="shared" si="599"/>
        <v>0</v>
      </c>
    </row>
    <row r="601" spans="1:19" x14ac:dyDescent="0.4">
      <c r="A601" s="57"/>
      <c r="B601" s="57" t="str">
        <f t="shared" si="600"/>
        <v>RIN103355</v>
      </c>
      <c r="C601" s="57"/>
      <c r="D601" s="57"/>
      <c r="E601" s="57"/>
      <c r="F601" s="71">
        <f t="shared" si="601"/>
        <v>153</v>
      </c>
      <c r="G601" s="72">
        <f t="shared" si="602"/>
        <v>0</v>
      </c>
      <c r="H601" s="57">
        <f t="shared" si="589"/>
        <v>0</v>
      </c>
      <c r="I601" s="73">
        <f t="shared" si="590"/>
        <v>0</v>
      </c>
      <c r="J601" s="74">
        <v>22</v>
      </c>
      <c r="K601" s="57">
        <f t="shared" si="591"/>
        <v>0</v>
      </c>
      <c r="L601" s="75">
        <f t="shared" si="592"/>
        <v>0</v>
      </c>
      <c r="M601" s="76">
        <f t="shared" si="593"/>
        <v>0</v>
      </c>
      <c r="N601" s="76">
        <f t="shared" si="594"/>
        <v>0</v>
      </c>
      <c r="O601" s="77">
        <f t="shared" si="595"/>
        <v>0</v>
      </c>
      <c r="P601" s="77">
        <f t="shared" si="596"/>
        <v>0</v>
      </c>
      <c r="Q601" s="76">
        <f t="shared" si="597"/>
        <v>0</v>
      </c>
      <c r="R601" s="76">
        <f t="shared" si="598"/>
        <v>0</v>
      </c>
      <c r="S601" s="57">
        <f t="shared" si="599"/>
        <v>0</v>
      </c>
    </row>
    <row r="602" spans="1:19" x14ac:dyDescent="0.4">
      <c r="A602" s="57"/>
      <c r="B602" s="57" t="str">
        <f t="shared" si="600"/>
        <v>RIN103355</v>
      </c>
      <c r="C602" s="57"/>
      <c r="D602" s="57"/>
      <c r="E602" s="57"/>
      <c r="F602" s="71">
        <f t="shared" si="601"/>
        <v>183</v>
      </c>
      <c r="G602" s="72">
        <f t="shared" si="602"/>
        <v>0</v>
      </c>
      <c r="H602" s="57">
        <f t="shared" si="589"/>
        <v>0</v>
      </c>
      <c r="I602" s="73">
        <f t="shared" si="590"/>
        <v>0</v>
      </c>
      <c r="J602" s="74">
        <v>22</v>
      </c>
      <c r="K602" s="57">
        <f t="shared" si="591"/>
        <v>0</v>
      </c>
      <c r="L602" s="75">
        <f t="shared" si="592"/>
        <v>0</v>
      </c>
      <c r="M602" s="76">
        <f t="shared" si="593"/>
        <v>0</v>
      </c>
      <c r="N602" s="76">
        <f t="shared" si="594"/>
        <v>0</v>
      </c>
      <c r="O602" s="77">
        <f t="shared" si="595"/>
        <v>0</v>
      </c>
      <c r="P602" s="77">
        <f t="shared" si="596"/>
        <v>0</v>
      </c>
      <c r="Q602" s="76">
        <f t="shared" si="597"/>
        <v>0</v>
      </c>
      <c r="R602" s="76">
        <f t="shared" si="598"/>
        <v>0</v>
      </c>
      <c r="S602" s="57">
        <f t="shared" si="599"/>
        <v>0</v>
      </c>
    </row>
    <row r="603" spans="1:19" x14ac:dyDescent="0.4">
      <c r="B603" s="57"/>
    </row>
    <row r="604" spans="1:19" ht="123" customHeight="1" x14ac:dyDescent="0.4">
      <c r="A604" s="69" t="s">
        <v>11</v>
      </c>
      <c r="B604" s="69" t="s">
        <v>11</v>
      </c>
      <c r="C604" s="69" t="s">
        <v>155</v>
      </c>
      <c r="D604" s="69" t="s">
        <v>158</v>
      </c>
      <c r="E604" s="69" t="s">
        <v>185</v>
      </c>
      <c r="F604" s="69" t="s">
        <v>186</v>
      </c>
      <c r="G604" s="70" t="s">
        <v>156</v>
      </c>
      <c r="H604" s="69" t="s">
        <v>187</v>
      </c>
      <c r="I604" s="69" t="s">
        <v>188</v>
      </c>
      <c r="J604" s="69" t="s">
        <v>158</v>
      </c>
      <c r="K604" s="69" t="s">
        <v>159</v>
      </c>
      <c r="L604" s="69" t="s">
        <v>160</v>
      </c>
      <c r="M604" s="69" t="s">
        <v>161</v>
      </c>
      <c r="N604" s="69" t="s">
        <v>162</v>
      </c>
      <c r="O604" s="69" t="s">
        <v>163</v>
      </c>
      <c r="P604" s="69" t="s">
        <v>164</v>
      </c>
      <c r="Q604" s="69" t="s">
        <v>165</v>
      </c>
      <c r="R604" s="69" t="s">
        <v>166</v>
      </c>
      <c r="S604" s="69" t="s">
        <v>189</v>
      </c>
    </row>
    <row r="605" spans="1:19" x14ac:dyDescent="0.4">
      <c r="A605" s="57">
        <f>+A591+1</f>
        <v>44</v>
      </c>
      <c r="B605" s="57" t="str">
        <f>INDEX('sale resgister'!B:B,A605+1,1)</f>
        <v>RIN103354</v>
      </c>
      <c r="C605" s="71">
        <f>+VLOOKUP(B605,'sale resgister'!B:J,9,0)</f>
        <v>46003</v>
      </c>
      <c r="D605" s="79" t="str">
        <f>+VLOOKUP(B605,'sale resgister'!B:J,2,0)</f>
        <v>Batch 3</v>
      </c>
      <c r="E605" s="96">
        <f>IF(C605=0,0,VLOOKUP(B605,'sale resgister'!B:J,4,0))</f>
        <v>4.431</v>
      </c>
      <c r="F605" s="71">
        <f>DATE(YEAR(C605),MONTH(C605)+1,1)</f>
        <v>46023</v>
      </c>
      <c r="G605" s="72">
        <f>E605</f>
        <v>4.431</v>
      </c>
      <c r="H605" s="57">
        <f t="shared" ref="H605:H616" si="603">ROUND(+G605*$H$1,3)</f>
        <v>0.31</v>
      </c>
      <c r="I605" s="73">
        <f t="shared" ref="I605:I616" si="604">IFERROR(+VLOOKUP(F605,$W$3:$X$15,2,0),0)</f>
        <v>13790</v>
      </c>
      <c r="J605" s="74">
        <v>22</v>
      </c>
      <c r="K605" s="57">
        <f t="shared" ref="K605:K616" si="605">ROUND(+H605*97%,3)</f>
        <v>0.30099999999999999</v>
      </c>
      <c r="L605" s="75">
        <f t="shared" ref="L605:L616" si="606">(K605-H605*92%)*I605</f>
        <v>217.88199999999972</v>
      </c>
      <c r="M605" s="76">
        <f t="shared" ref="M605:M616" si="607">ROUND(I605*92%*H605,2)</f>
        <v>3932.91</v>
      </c>
      <c r="N605" s="76">
        <f t="shared" ref="N605:N616" si="608">ROUND(+M605*0.11,2)</f>
        <v>432.62</v>
      </c>
      <c r="O605" s="77">
        <f t="shared" ref="O605:O616" si="609">+N605-L605</f>
        <v>214.73800000000028</v>
      </c>
      <c r="P605" s="77">
        <f t="shared" ref="P605:P616" si="610">ROUND(+O605*15%,2)</f>
        <v>32.21</v>
      </c>
      <c r="Q605" s="76">
        <f t="shared" ref="Q605:Q616" si="611">ROUND(+(O605-P605)*60%,2)</f>
        <v>109.52</v>
      </c>
      <c r="R605" s="76">
        <f t="shared" ref="R605:R616" si="612">ROUND(+(O605-P605)*40%,2)</f>
        <v>73.010000000000005</v>
      </c>
      <c r="S605" s="57">
        <f t="shared" ref="S605:S616" si="613">IFERROR(ROUND(+Q605/(I605/92%),3),0)</f>
        <v>7.0000000000000001E-3</v>
      </c>
    </row>
    <row r="606" spans="1:19" x14ac:dyDescent="0.4">
      <c r="A606" s="57"/>
      <c r="B606" s="57" t="str">
        <f t="shared" ref="B606:B616" si="614">+B605</f>
        <v>RIN103354</v>
      </c>
      <c r="C606" s="57"/>
      <c r="D606" s="57"/>
      <c r="E606" s="57"/>
      <c r="F606" s="71">
        <f t="shared" ref="F606:F616" si="615">IF(+DATE(YEAR(F605),MONTH(F605)+1,1)&gt;$G$1+1,0,+DATE(YEAR(F605),MONTH(F605)+1,1))</f>
        <v>46054</v>
      </c>
      <c r="G606" s="72">
        <f t="shared" ref="G606:G616" si="616">ROUND(IF(F606=0,0,(G605+S605)),3)</f>
        <v>4.4379999999999997</v>
      </c>
      <c r="H606" s="57">
        <f t="shared" si="603"/>
        <v>0.311</v>
      </c>
      <c r="I606" s="73">
        <f t="shared" si="604"/>
        <v>15760</v>
      </c>
      <c r="J606" s="74">
        <v>22</v>
      </c>
      <c r="K606" s="57">
        <f t="shared" si="605"/>
        <v>0.30199999999999999</v>
      </c>
      <c r="L606" s="75">
        <f t="shared" si="606"/>
        <v>250.26880000000008</v>
      </c>
      <c r="M606" s="76">
        <f t="shared" si="607"/>
        <v>4509.25</v>
      </c>
      <c r="N606" s="76">
        <f t="shared" si="608"/>
        <v>496.02</v>
      </c>
      <c r="O606" s="77">
        <f t="shared" si="609"/>
        <v>245.7511999999999</v>
      </c>
      <c r="P606" s="77">
        <f t="shared" si="610"/>
        <v>36.86</v>
      </c>
      <c r="Q606" s="76">
        <f t="shared" si="611"/>
        <v>125.33</v>
      </c>
      <c r="R606" s="76">
        <f t="shared" si="612"/>
        <v>83.56</v>
      </c>
      <c r="S606" s="57">
        <f t="shared" si="613"/>
        <v>7.0000000000000001E-3</v>
      </c>
    </row>
    <row r="607" spans="1:19" x14ac:dyDescent="0.4">
      <c r="A607" s="57"/>
      <c r="B607" s="57" t="str">
        <f t="shared" si="614"/>
        <v>RIN103354</v>
      </c>
      <c r="C607" s="57"/>
      <c r="D607" s="57"/>
      <c r="E607" s="71"/>
      <c r="F607" s="71">
        <f t="shared" si="615"/>
        <v>46082</v>
      </c>
      <c r="G607" s="72">
        <f t="shared" si="616"/>
        <v>4.4450000000000003</v>
      </c>
      <c r="H607" s="57">
        <f t="shared" si="603"/>
        <v>0.311</v>
      </c>
      <c r="I607" s="73">
        <f t="shared" si="604"/>
        <v>17200</v>
      </c>
      <c r="J607" s="74">
        <v>22</v>
      </c>
      <c r="K607" s="57">
        <f t="shared" si="605"/>
        <v>0.30199999999999999</v>
      </c>
      <c r="L607" s="75">
        <f t="shared" si="606"/>
        <v>273.13600000000008</v>
      </c>
      <c r="M607" s="76">
        <f t="shared" si="607"/>
        <v>4921.26</v>
      </c>
      <c r="N607" s="76">
        <f t="shared" si="608"/>
        <v>541.34</v>
      </c>
      <c r="O607" s="77">
        <f t="shared" si="609"/>
        <v>268.20399999999995</v>
      </c>
      <c r="P607" s="77">
        <f t="shared" si="610"/>
        <v>40.229999999999997</v>
      </c>
      <c r="Q607" s="76">
        <f t="shared" si="611"/>
        <v>136.78</v>
      </c>
      <c r="R607" s="76">
        <f t="shared" si="612"/>
        <v>91.19</v>
      </c>
      <c r="S607" s="57">
        <f t="shared" si="613"/>
        <v>7.0000000000000001E-3</v>
      </c>
    </row>
    <row r="608" spans="1:19" x14ac:dyDescent="0.4">
      <c r="A608" s="57"/>
      <c r="B608" s="57" t="str">
        <f t="shared" si="614"/>
        <v>RIN103354</v>
      </c>
      <c r="C608" s="57"/>
      <c r="D608" s="57"/>
      <c r="E608" s="57"/>
      <c r="F608" s="71">
        <f t="shared" si="615"/>
        <v>46113</v>
      </c>
      <c r="G608" s="72">
        <f t="shared" si="616"/>
        <v>4.452</v>
      </c>
      <c r="H608" s="57">
        <f t="shared" si="603"/>
        <v>0.312</v>
      </c>
      <c r="I608" s="73">
        <f t="shared" si="604"/>
        <v>15450</v>
      </c>
      <c r="J608" s="74">
        <v>22</v>
      </c>
      <c r="K608" s="57">
        <f t="shared" si="605"/>
        <v>0.30299999999999999</v>
      </c>
      <c r="L608" s="75">
        <f t="shared" si="606"/>
        <v>246.5819999999996</v>
      </c>
      <c r="M608" s="76">
        <f t="shared" si="607"/>
        <v>4434.7700000000004</v>
      </c>
      <c r="N608" s="76">
        <f t="shared" si="608"/>
        <v>487.82</v>
      </c>
      <c r="O608" s="77">
        <f t="shared" si="609"/>
        <v>241.2380000000004</v>
      </c>
      <c r="P608" s="77">
        <f t="shared" si="610"/>
        <v>36.19</v>
      </c>
      <c r="Q608" s="76">
        <f t="shared" si="611"/>
        <v>123.03</v>
      </c>
      <c r="R608" s="76">
        <f t="shared" si="612"/>
        <v>82.02</v>
      </c>
      <c r="S608" s="57">
        <f t="shared" si="613"/>
        <v>7.0000000000000001E-3</v>
      </c>
    </row>
    <row r="609" spans="1:19" x14ac:dyDescent="0.4">
      <c r="A609" s="57"/>
      <c r="B609" s="57" t="str">
        <f t="shared" si="614"/>
        <v>RIN103354</v>
      </c>
      <c r="C609" s="71"/>
      <c r="D609" s="57"/>
      <c r="E609" s="57"/>
      <c r="F609" s="71">
        <f t="shared" si="615"/>
        <v>0</v>
      </c>
      <c r="G609" s="72">
        <f t="shared" si="616"/>
        <v>0</v>
      </c>
      <c r="H609" s="57">
        <f t="shared" si="603"/>
        <v>0</v>
      </c>
      <c r="I609" s="73">
        <f t="shared" si="604"/>
        <v>0</v>
      </c>
      <c r="J609" s="74">
        <v>22</v>
      </c>
      <c r="K609" s="57">
        <f t="shared" si="605"/>
        <v>0</v>
      </c>
      <c r="L609" s="75">
        <f t="shared" si="606"/>
        <v>0</v>
      </c>
      <c r="M609" s="76">
        <f t="shared" si="607"/>
        <v>0</v>
      </c>
      <c r="N609" s="76">
        <f t="shared" si="608"/>
        <v>0</v>
      </c>
      <c r="O609" s="77">
        <f t="shared" si="609"/>
        <v>0</v>
      </c>
      <c r="P609" s="77">
        <f t="shared" si="610"/>
        <v>0</v>
      </c>
      <c r="Q609" s="76">
        <f t="shared" si="611"/>
        <v>0</v>
      </c>
      <c r="R609" s="76">
        <f t="shared" si="612"/>
        <v>0</v>
      </c>
      <c r="S609" s="57">
        <f t="shared" si="613"/>
        <v>0</v>
      </c>
    </row>
    <row r="610" spans="1:19" x14ac:dyDescent="0.4">
      <c r="A610" s="57"/>
      <c r="B610" s="57" t="str">
        <f t="shared" si="614"/>
        <v>RIN103354</v>
      </c>
      <c r="C610" s="57"/>
      <c r="D610" s="57"/>
      <c r="E610" s="57"/>
      <c r="F610" s="71">
        <f t="shared" si="615"/>
        <v>32</v>
      </c>
      <c r="G610" s="72">
        <f t="shared" si="616"/>
        <v>0</v>
      </c>
      <c r="H610" s="57">
        <f t="shared" si="603"/>
        <v>0</v>
      </c>
      <c r="I610" s="73">
        <f t="shared" si="604"/>
        <v>0</v>
      </c>
      <c r="J610" s="74">
        <v>22</v>
      </c>
      <c r="K610" s="57">
        <f t="shared" si="605"/>
        <v>0</v>
      </c>
      <c r="L610" s="75">
        <f t="shared" si="606"/>
        <v>0</v>
      </c>
      <c r="M610" s="76">
        <f t="shared" si="607"/>
        <v>0</v>
      </c>
      <c r="N610" s="76">
        <f t="shared" si="608"/>
        <v>0</v>
      </c>
      <c r="O610" s="77">
        <f t="shared" si="609"/>
        <v>0</v>
      </c>
      <c r="P610" s="77">
        <f t="shared" si="610"/>
        <v>0</v>
      </c>
      <c r="Q610" s="76">
        <f t="shared" si="611"/>
        <v>0</v>
      </c>
      <c r="R610" s="76">
        <f t="shared" si="612"/>
        <v>0</v>
      </c>
      <c r="S610" s="57">
        <f t="shared" si="613"/>
        <v>0</v>
      </c>
    </row>
    <row r="611" spans="1:19" x14ac:dyDescent="0.4">
      <c r="A611" s="57"/>
      <c r="B611" s="57" t="str">
        <f t="shared" si="614"/>
        <v>RIN103354</v>
      </c>
      <c r="C611" s="57"/>
      <c r="D611" s="57"/>
      <c r="E611" s="57"/>
      <c r="F611" s="71">
        <f t="shared" si="615"/>
        <v>61</v>
      </c>
      <c r="G611" s="72">
        <f t="shared" si="616"/>
        <v>0</v>
      </c>
      <c r="H611" s="57">
        <f t="shared" si="603"/>
        <v>0</v>
      </c>
      <c r="I611" s="73">
        <f t="shared" si="604"/>
        <v>0</v>
      </c>
      <c r="J611" s="74">
        <v>22</v>
      </c>
      <c r="K611" s="57">
        <f t="shared" si="605"/>
        <v>0</v>
      </c>
      <c r="L611" s="75">
        <f t="shared" si="606"/>
        <v>0</v>
      </c>
      <c r="M611" s="76">
        <f t="shared" si="607"/>
        <v>0</v>
      </c>
      <c r="N611" s="76">
        <f t="shared" si="608"/>
        <v>0</v>
      </c>
      <c r="O611" s="77">
        <f t="shared" si="609"/>
        <v>0</v>
      </c>
      <c r="P611" s="77">
        <f t="shared" si="610"/>
        <v>0</v>
      </c>
      <c r="Q611" s="76">
        <f t="shared" si="611"/>
        <v>0</v>
      </c>
      <c r="R611" s="76">
        <f t="shared" si="612"/>
        <v>0</v>
      </c>
      <c r="S611" s="57">
        <f t="shared" si="613"/>
        <v>0</v>
      </c>
    </row>
    <row r="612" spans="1:19" x14ac:dyDescent="0.4">
      <c r="A612" s="57"/>
      <c r="B612" s="57" t="str">
        <f t="shared" si="614"/>
        <v>RIN103354</v>
      </c>
      <c r="C612" s="57"/>
      <c r="D612" s="79"/>
      <c r="E612" s="57"/>
      <c r="F612" s="71">
        <f t="shared" si="615"/>
        <v>92</v>
      </c>
      <c r="G612" s="72">
        <f t="shared" si="616"/>
        <v>0</v>
      </c>
      <c r="H612" s="57">
        <f t="shared" si="603"/>
        <v>0</v>
      </c>
      <c r="I612" s="73">
        <f t="shared" si="604"/>
        <v>0</v>
      </c>
      <c r="J612" s="74">
        <v>22</v>
      </c>
      <c r="K612" s="57">
        <f t="shared" si="605"/>
        <v>0</v>
      </c>
      <c r="L612" s="75">
        <f t="shared" si="606"/>
        <v>0</v>
      </c>
      <c r="M612" s="76">
        <f t="shared" si="607"/>
        <v>0</v>
      </c>
      <c r="N612" s="76">
        <f t="shared" si="608"/>
        <v>0</v>
      </c>
      <c r="O612" s="77">
        <f t="shared" si="609"/>
        <v>0</v>
      </c>
      <c r="P612" s="77">
        <f t="shared" si="610"/>
        <v>0</v>
      </c>
      <c r="Q612" s="76">
        <f t="shared" si="611"/>
        <v>0</v>
      </c>
      <c r="R612" s="76">
        <f t="shared" si="612"/>
        <v>0</v>
      </c>
      <c r="S612" s="57">
        <f t="shared" si="613"/>
        <v>0</v>
      </c>
    </row>
    <row r="613" spans="1:19" x14ac:dyDescent="0.4">
      <c r="A613" s="57"/>
      <c r="B613" s="57" t="str">
        <f t="shared" si="614"/>
        <v>RIN103354</v>
      </c>
      <c r="C613" s="57"/>
      <c r="D613" s="79"/>
      <c r="E613" s="57"/>
      <c r="F613" s="71">
        <f t="shared" si="615"/>
        <v>122</v>
      </c>
      <c r="G613" s="72">
        <f t="shared" si="616"/>
        <v>0</v>
      </c>
      <c r="H613" s="57">
        <f t="shared" si="603"/>
        <v>0</v>
      </c>
      <c r="I613" s="73">
        <f t="shared" si="604"/>
        <v>0</v>
      </c>
      <c r="J613" s="74">
        <v>22</v>
      </c>
      <c r="K613" s="57">
        <f t="shared" si="605"/>
        <v>0</v>
      </c>
      <c r="L613" s="75">
        <f t="shared" si="606"/>
        <v>0</v>
      </c>
      <c r="M613" s="76">
        <f t="shared" si="607"/>
        <v>0</v>
      </c>
      <c r="N613" s="76">
        <f t="shared" si="608"/>
        <v>0</v>
      </c>
      <c r="O613" s="77">
        <f t="shared" si="609"/>
        <v>0</v>
      </c>
      <c r="P613" s="77">
        <f t="shared" si="610"/>
        <v>0</v>
      </c>
      <c r="Q613" s="76">
        <f t="shared" si="611"/>
        <v>0</v>
      </c>
      <c r="R613" s="76">
        <f t="shared" si="612"/>
        <v>0</v>
      </c>
      <c r="S613" s="57">
        <f t="shared" si="613"/>
        <v>0</v>
      </c>
    </row>
    <row r="614" spans="1:19" x14ac:dyDescent="0.4">
      <c r="A614" s="57"/>
      <c r="B614" s="57" t="str">
        <f t="shared" si="614"/>
        <v>RIN103354</v>
      </c>
      <c r="C614" s="57"/>
      <c r="D614" s="57"/>
      <c r="E614" s="57"/>
      <c r="F614" s="71">
        <f t="shared" si="615"/>
        <v>153</v>
      </c>
      <c r="G614" s="72">
        <f t="shared" si="616"/>
        <v>0</v>
      </c>
      <c r="H614" s="57">
        <f t="shared" si="603"/>
        <v>0</v>
      </c>
      <c r="I614" s="73">
        <f t="shared" si="604"/>
        <v>0</v>
      </c>
      <c r="J614" s="74">
        <v>22</v>
      </c>
      <c r="K614" s="57">
        <f t="shared" si="605"/>
        <v>0</v>
      </c>
      <c r="L614" s="75">
        <f t="shared" si="606"/>
        <v>0</v>
      </c>
      <c r="M614" s="76">
        <f t="shared" si="607"/>
        <v>0</v>
      </c>
      <c r="N614" s="76">
        <f t="shared" si="608"/>
        <v>0</v>
      </c>
      <c r="O614" s="77">
        <f t="shared" si="609"/>
        <v>0</v>
      </c>
      <c r="P614" s="77">
        <f t="shared" si="610"/>
        <v>0</v>
      </c>
      <c r="Q614" s="76">
        <f t="shared" si="611"/>
        <v>0</v>
      </c>
      <c r="R614" s="76">
        <f t="shared" si="612"/>
        <v>0</v>
      </c>
      <c r="S614" s="57">
        <f t="shared" si="613"/>
        <v>0</v>
      </c>
    </row>
    <row r="615" spans="1:19" x14ac:dyDescent="0.4">
      <c r="A615" s="57"/>
      <c r="B615" s="57" t="str">
        <f t="shared" si="614"/>
        <v>RIN103354</v>
      </c>
      <c r="C615" s="57"/>
      <c r="D615" s="57"/>
      <c r="E615" s="57"/>
      <c r="F615" s="71">
        <f t="shared" si="615"/>
        <v>183</v>
      </c>
      <c r="G615" s="72">
        <f t="shared" si="616"/>
        <v>0</v>
      </c>
      <c r="H615" s="57">
        <f t="shared" si="603"/>
        <v>0</v>
      </c>
      <c r="I615" s="73">
        <f t="shared" si="604"/>
        <v>0</v>
      </c>
      <c r="J615" s="74">
        <v>22</v>
      </c>
      <c r="K615" s="57">
        <f t="shared" si="605"/>
        <v>0</v>
      </c>
      <c r="L615" s="75">
        <f t="shared" si="606"/>
        <v>0</v>
      </c>
      <c r="M615" s="76">
        <f t="shared" si="607"/>
        <v>0</v>
      </c>
      <c r="N615" s="76">
        <f t="shared" si="608"/>
        <v>0</v>
      </c>
      <c r="O615" s="77">
        <f t="shared" si="609"/>
        <v>0</v>
      </c>
      <c r="P615" s="77">
        <f t="shared" si="610"/>
        <v>0</v>
      </c>
      <c r="Q615" s="76">
        <f t="shared" si="611"/>
        <v>0</v>
      </c>
      <c r="R615" s="76">
        <f t="shared" si="612"/>
        <v>0</v>
      </c>
      <c r="S615" s="57">
        <f t="shared" si="613"/>
        <v>0</v>
      </c>
    </row>
    <row r="616" spans="1:19" x14ac:dyDescent="0.4">
      <c r="A616" s="57"/>
      <c r="B616" s="57" t="str">
        <f t="shared" si="614"/>
        <v>RIN103354</v>
      </c>
      <c r="C616" s="57"/>
      <c r="D616" s="57"/>
      <c r="E616" s="57"/>
      <c r="F616" s="71">
        <f t="shared" si="615"/>
        <v>214</v>
      </c>
      <c r="G616" s="72">
        <f t="shared" si="616"/>
        <v>0</v>
      </c>
      <c r="H616" s="57">
        <f t="shared" si="603"/>
        <v>0</v>
      </c>
      <c r="I616" s="73">
        <f t="shared" si="604"/>
        <v>0</v>
      </c>
      <c r="J616" s="74">
        <v>22</v>
      </c>
      <c r="K616" s="57">
        <f t="shared" si="605"/>
        <v>0</v>
      </c>
      <c r="L616" s="75">
        <f t="shared" si="606"/>
        <v>0</v>
      </c>
      <c r="M616" s="76">
        <f t="shared" si="607"/>
        <v>0</v>
      </c>
      <c r="N616" s="76">
        <f t="shared" si="608"/>
        <v>0</v>
      </c>
      <c r="O616" s="77">
        <f t="shared" si="609"/>
        <v>0</v>
      </c>
      <c r="P616" s="77">
        <f t="shared" si="610"/>
        <v>0</v>
      </c>
      <c r="Q616" s="76">
        <f t="shared" si="611"/>
        <v>0</v>
      </c>
      <c r="R616" s="76">
        <f t="shared" si="612"/>
        <v>0</v>
      </c>
      <c r="S616" s="57">
        <f t="shared" si="613"/>
        <v>0</v>
      </c>
    </row>
    <row r="617" spans="1:19" x14ac:dyDescent="0.4">
      <c r="B617" s="57"/>
    </row>
  </sheetData>
  <autoFilter ref="B2:S617" xr:uid="{00000000-0009-0000-0000-000004000000}"/>
  <conditionalFormatting sqref="A1 A3:A15 A29 A43 A57 A71 A85 A99 A197 A295 A393 A491 A589 A618:A1048576">
    <cfRule type="duplicateValues" dxfId="62" priority="55"/>
  </conditionalFormatting>
  <conditionalFormatting sqref="A1:A99 A101 A115 A129 A143 A157 A171 A185 A197 A199 A213 A227 A241 A255 A269 A283 A295 A297 A311 A325 A339 A353 A367 A381 A393 A395 A409 A423 A437 A451 A465 A479 A491 A493 A507 A521 A535 A549 A563 A577 A589 A591 A605 A618:A1048576">
    <cfRule type="duplicateValues" dxfId="61" priority="49"/>
  </conditionalFormatting>
  <conditionalFormatting sqref="A17 A31 A45 A59 A73 A87 A101 A115 A129 A143 A157 A171 A185 A199 A213 A227 A241 A255 A269 A283 A297 A311 A325 A339 A353 A367 A381 A395 A409 A423 A437 A451 A465 A479 A493 A507 A521 A535 A549 A563 A577 A591 A605">
    <cfRule type="duplicateValues" dxfId="60" priority="59"/>
  </conditionalFormatting>
  <conditionalFormatting sqref="A17:A28 A31 A45 A59 A73 A87 A101 A115 A129 A143 A157 A171 A185 A199 A213 A227 A241 A255 A269 A283 A297 A311 A325 A339 A353 A367 A381 A395 A409 A423 A437 A451 A465 A479 A493 A507 A521 A535 A549 A563 A577 A591 A605">
    <cfRule type="duplicateValues" dxfId="59" priority="56"/>
  </conditionalFormatting>
  <conditionalFormatting sqref="A31">
    <cfRule type="duplicateValues" dxfId="58" priority="5"/>
    <cfRule type="duplicateValues" dxfId="57" priority="6"/>
  </conditionalFormatting>
  <conditionalFormatting sqref="A31:A42">
    <cfRule type="duplicateValues" dxfId="56" priority="54"/>
  </conditionalFormatting>
  <conditionalFormatting sqref="A45">
    <cfRule type="duplicateValues" dxfId="55" priority="2"/>
    <cfRule type="duplicateValues" dxfId="54" priority="3"/>
    <cfRule type="duplicateValues" dxfId="53" priority="4"/>
  </conditionalFormatting>
  <conditionalFormatting sqref="A45:A56">
    <cfRule type="duplicateValues" dxfId="52" priority="53"/>
  </conditionalFormatting>
  <conditionalFormatting sqref="A59:A70">
    <cfRule type="duplicateValues" dxfId="51" priority="52"/>
  </conditionalFormatting>
  <conditionalFormatting sqref="A73:A84">
    <cfRule type="duplicateValues" dxfId="50" priority="51"/>
  </conditionalFormatting>
  <conditionalFormatting sqref="A87">
    <cfRule type="duplicateValues" dxfId="49" priority="48"/>
  </conditionalFormatting>
  <conditionalFormatting sqref="A87:A98">
    <cfRule type="duplicateValues" dxfId="48" priority="50"/>
  </conditionalFormatting>
  <conditionalFormatting sqref="A100 A102:A114 A116:A128 A130:A142 A144:A156 A158:A170 A172:A184 A186:A196">
    <cfRule type="duplicateValues" dxfId="47" priority="40"/>
  </conditionalFormatting>
  <conditionalFormatting sqref="A102:A113 A127 A141 A155 A169 A183">
    <cfRule type="duplicateValues" dxfId="46" priority="47"/>
  </conditionalFormatting>
  <conditionalFormatting sqref="A116:A126">
    <cfRule type="duplicateValues" dxfId="45" priority="46"/>
  </conditionalFormatting>
  <conditionalFormatting sqref="A130:A140">
    <cfRule type="duplicateValues" dxfId="44" priority="45"/>
  </conditionalFormatting>
  <conditionalFormatting sqref="A144:A154">
    <cfRule type="duplicateValues" dxfId="43" priority="44"/>
  </conditionalFormatting>
  <conditionalFormatting sqref="A158:A168">
    <cfRule type="duplicateValues" dxfId="42" priority="43"/>
  </conditionalFormatting>
  <conditionalFormatting sqref="A172:A182">
    <cfRule type="duplicateValues" dxfId="41" priority="42"/>
  </conditionalFormatting>
  <conditionalFormatting sqref="A186:A196">
    <cfRule type="duplicateValues" dxfId="40" priority="41"/>
  </conditionalFormatting>
  <conditionalFormatting sqref="A198 A200:A212 A214:A226 A228:A240 A242:A254 A256:A268 A270:A282 A284:A294">
    <cfRule type="duplicateValues" dxfId="39" priority="32"/>
  </conditionalFormatting>
  <conditionalFormatting sqref="A200:A211 A225 A239 A253 A267 A281">
    <cfRule type="duplicateValues" dxfId="38" priority="39"/>
  </conditionalFormatting>
  <conditionalFormatting sqref="A214:A224">
    <cfRule type="duplicateValues" dxfId="37" priority="38"/>
  </conditionalFormatting>
  <conditionalFormatting sqref="A228:A238">
    <cfRule type="duplicateValues" dxfId="36" priority="37"/>
  </conditionalFormatting>
  <conditionalFormatting sqref="A242:A252">
    <cfRule type="duplicateValues" dxfId="35" priority="36"/>
  </conditionalFormatting>
  <conditionalFormatting sqref="A256:A266">
    <cfRule type="duplicateValues" dxfId="34" priority="35"/>
  </conditionalFormatting>
  <conditionalFormatting sqref="A270:A280">
    <cfRule type="duplicateValues" dxfId="33" priority="34"/>
  </conditionalFormatting>
  <conditionalFormatting sqref="A284:A294">
    <cfRule type="duplicateValues" dxfId="32" priority="33"/>
  </conditionalFormatting>
  <conditionalFormatting sqref="A296 A298:A310 A312:A324 A326:A338 A340:A352 A354:A366 A368:A380 A382:A392">
    <cfRule type="duplicateValues" dxfId="31" priority="24"/>
  </conditionalFormatting>
  <conditionalFormatting sqref="A298:A309 A323 A337 A351 A365 A379">
    <cfRule type="duplicateValues" dxfId="30" priority="31"/>
  </conditionalFormatting>
  <conditionalFormatting sqref="A312:A322">
    <cfRule type="duplicateValues" dxfId="29" priority="30"/>
  </conditionalFormatting>
  <conditionalFormatting sqref="A326:A336">
    <cfRule type="duplicateValues" dxfId="28" priority="29"/>
  </conditionalFormatting>
  <conditionalFormatting sqref="A340:A350">
    <cfRule type="duplicateValues" dxfId="27" priority="28"/>
  </conditionalFormatting>
  <conditionalFormatting sqref="A354:A364">
    <cfRule type="duplicateValues" dxfId="26" priority="27"/>
  </conditionalFormatting>
  <conditionalFormatting sqref="A368:A378">
    <cfRule type="duplicateValues" dxfId="25" priority="26"/>
  </conditionalFormatting>
  <conditionalFormatting sqref="A382:A392">
    <cfRule type="duplicateValues" dxfId="24" priority="25"/>
  </conditionalFormatting>
  <conditionalFormatting sqref="A394 A396:A408 A410:A422 A424:A436 A438:A450 A452:A464 A466:A478 A480:A490">
    <cfRule type="duplicateValues" dxfId="23" priority="16"/>
  </conditionalFormatting>
  <conditionalFormatting sqref="A396:A407 A421 A435 A449 A463 A477">
    <cfRule type="duplicateValues" dxfId="22" priority="23"/>
  </conditionalFormatting>
  <conditionalFormatting sqref="A410:A420">
    <cfRule type="duplicateValues" dxfId="21" priority="22"/>
  </conditionalFormatting>
  <conditionalFormatting sqref="A424:A434">
    <cfRule type="duplicateValues" dxfId="20" priority="21"/>
  </conditionalFormatting>
  <conditionalFormatting sqref="A438:A448">
    <cfRule type="duplicateValues" dxfId="19" priority="20"/>
  </conditionalFormatting>
  <conditionalFormatting sqref="A452:A462">
    <cfRule type="duplicateValues" dxfId="18" priority="19"/>
  </conditionalFormatting>
  <conditionalFormatting sqref="A466:A476">
    <cfRule type="duplicateValues" dxfId="17" priority="18"/>
  </conditionalFormatting>
  <conditionalFormatting sqref="A480:A490">
    <cfRule type="duplicateValues" dxfId="16" priority="17"/>
  </conditionalFormatting>
  <conditionalFormatting sqref="A492 A494:A506 A508:A520 A522:A534 A536:A548 A550:A562 A564:A576 A578:A588">
    <cfRule type="duplicateValues" dxfId="15" priority="8"/>
  </conditionalFormatting>
  <conditionalFormatting sqref="A494:A505 A519 A533 A547 A561 A575">
    <cfRule type="duplicateValues" dxfId="14" priority="15"/>
  </conditionalFormatting>
  <conditionalFormatting sqref="A508:A518">
    <cfRule type="duplicateValues" dxfId="13" priority="14"/>
  </conditionalFormatting>
  <conditionalFormatting sqref="A522:A532">
    <cfRule type="duplicateValues" dxfId="12" priority="13"/>
  </conditionalFormatting>
  <conditionalFormatting sqref="A536:A546">
    <cfRule type="duplicateValues" dxfId="11" priority="12"/>
  </conditionalFormatting>
  <conditionalFormatting sqref="A550:A560">
    <cfRule type="duplicateValues" dxfId="10" priority="11"/>
  </conditionalFormatting>
  <conditionalFormatting sqref="A564:A574">
    <cfRule type="duplicateValues" dxfId="9" priority="10"/>
  </conditionalFormatting>
  <conditionalFormatting sqref="A578:A588">
    <cfRule type="duplicateValues" dxfId="8" priority="9"/>
  </conditionalFormatting>
  <conditionalFormatting sqref="A590 A592:A604 A606:A617">
    <cfRule type="duplicateValues" dxfId="7" priority="58"/>
  </conditionalFormatting>
  <conditionalFormatting sqref="A592:A603 A617">
    <cfRule type="duplicateValues" dxfId="6" priority="57"/>
  </conditionalFormatting>
  <conditionalFormatting sqref="A606:A616">
    <cfRule type="duplicateValues" dxfId="5" priority="7"/>
  </conditionalFormatting>
  <pageMargins left="0.7" right="0.7" top="0.75" bottom="0.75" header="0.511811023622047" footer="0.511811023622047"/>
  <pageSetup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5"/>
  <sheetViews>
    <sheetView showGridLines="0" topLeftCell="E1" zoomScale="87" zoomScaleNormal="87" workbookViewId="0">
      <selection activeCell="Q15" sqref="Q15"/>
    </sheetView>
  </sheetViews>
  <sheetFormatPr defaultColWidth="8.69140625" defaultRowHeight="14.6" x14ac:dyDescent="0.4"/>
  <cols>
    <col min="3" max="3" width="9.3046875" customWidth="1"/>
    <col min="4" max="5" width="8.84375" customWidth="1"/>
    <col min="6" max="6" width="9.84375" customWidth="1"/>
    <col min="7" max="7" width="10.07421875" customWidth="1"/>
    <col min="8" max="8" width="5.84375" customWidth="1"/>
    <col min="9" max="9" width="10.07421875" customWidth="1"/>
    <col min="10" max="10" width="6.69140625" customWidth="1"/>
    <col min="11" max="11" width="8.4609375" customWidth="1"/>
    <col min="12" max="12" width="12.69140625" customWidth="1"/>
    <col min="13" max="13" width="13.69140625" customWidth="1"/>
    <col min="14" max="15" width="12.53515625" customWidth="1"/>
    <col min="16" max="16" width="11.07421875" customWidth="1"/>
    <col min="17" max="18" width="12.53515625" customWidth="1"/>
    <col min="19" max="19" width="7.84375" customWidth="1"/>
  </cols>
  <sheetData>
    <row r="1" spans="1:19" x14ac:dyDescent="0.4">
      <c r="G1" s="50">
        <v>46112</v>
      </c>
      <c r="H1" s="78">
        <v>7.0000000000000007E-2</v>
      </c>
      <c r="I1" s="78"/>
      <c r="J1" s="78"/>
    </row>
    <row r="2" spans="1:19" ht="84.75" customHeight="1" x14ac:dyDescent="0.4">
      <c r="A2" s="69" t="s">
        <v>184</v>
      </c>
      <c r="B2" s="69" t="s">
        <v>11</v>
      </c>
      <c r="C2" s="69" t="s">
        <v>155</v>
      </c>
      <c r="D2" s="69" t="s">
        <v>158</v>
      </c>
      <c r="E2" s="69" t="s">
        <v>185</v>
      </c>
      <c r="F2" s="69" t="s">
        <v>186</v>
      </c>
      <c r="G2" s="70" t="s">
        <v>156</v>
      </c>
      <c r="H2" s="69" t="s">
        <v>187</v>
      </c>
      <c r="I2" s="69" t="s">
        <v>188</v>
      </c>
      <c r="J2" s="69" t="s">
        <v>158</v>
      </c>
      <c r="K2" s="69" t="s">
        <v>159</v>
      </c>
      <c r="L2" s="69" t="s">
        <v>160</v>
      </c>
      <c r="M2" s="69" t="s">
        <v>161</v>
      </c>
      <c r="N2" s="69" t="s">
        <v>162</v>
      </c>
      <c r="O2" s="69" t="s">
        <v>163</v>
      </c>
      <c r="P2" s="69" t="s">
        <v>164</v>
      </c>
      <c r="Q2" s="69" t="s">
        <v>165</v>
      </c>
      <c r="R2" s="69" t="s">
        <v>166</v>
      </c>
      <c r="S2" s="69" t="s">
        <v>189</v>
      </c>
    </row>
    <row r="3" spans="1:19" x14ac:dyDescent="0.4">
      <c r="A3" s="57">
        <v>1</v>
      </c>
      <c r="B3" s="57"/>
      <c r="C3" s="71">
        <v>45757</v>
      </c>
      <c r="D3" s="79"/>
      <c r="E3" s="79">
        <f>311.303</f>
        <v>311.303</v>
      </c>
      <c r="F3" s="71">
        <f>DATE(YEAR(C3),MONTH(C3)+1,1)</f>
        <v>45778</v>
      </c>
      <c r="G3" s="80">
        <f>E3</f>
        <v>311.303</v>
      </c>
      <c r="H3" s="54">
        <f>ROUND(+G3*$H$1,3)</f>
        <v>21.791</v>
      </c>
      <c r="I3" s="73">
        <v>9642</v>
      </c>
      <c r="J3" s="74">
        <v>22</v>
      </c>
      <c r="K3" s="54">
        <f t="shared" ref="K3:K14" si="0">ROUND(+H3*97%,2)</f>
        <v>21.14</v>
      </c>
      <c r="L3" s="75">
        <f>(K3-H3*92%)*I3</f>
        <v>10531.763759999989</v>
      </c>
      <c r="M3" s="76">
        <f t="shared" ref="M3:M14" si="1">ROUND(I3*92%*H3,2)</f>
        <v>193300.12</v>
      </c>
      <c r="N3" s="76">
        <f t="shared" ref="N3:N14" si="2">ROUND(+M3*0.11,2)</f>
        <v>21263.01</v>
      </c>
      <c r="O3" s="77">
        <f t="shared" ref="O3:O14" si="3">+N3-L3</f>
        <v>10731.246240000009</v>
      </c>
      <c r="P3" s="77">
        <f t="shared" ref="P3:P14" si="4">ROUND(+O3*15%,2)</f>
        <v>1609.69</v>
      </c>
      <c r="Q3" s="76">
        <f t="shared" ref="Q3:Q14" si="5">ROUND(+(O3-P3)*60%,2)</f>
        <v>5472.93</v>
      </c>
      <c r="R3" s="76">
        <f t="shared" ref="R3:R14" si="6">ROUND(+(O3-P3)*40%,2)</f>
        <v>3648.62</v>
      </c>
      <c r="S3" s="57">
        <f t="shared" ref="S3:S14" si="7">ROUND(+Q3/(I3/92%),3)</f>
        <v>0.52200000000000002</v>
      </c>
    </row>
    <row r="4" spans="1:19" x14ac:dyDescent="0.4">
      <c r="A4" s="57"/>
      <c r="B4" s="57"/>
      <c r="C4" s="57"/>
      <c r="D4" s="57"/>
      <c r="E4" s="57"/>
      <c r="F4" s="71">
        <f t="shared" ref="F4:F14" si="8">IF(+DATE(YEAR(F3),MONTH(F3)+1,1)&gt;$G$1+1,0,+DATE(YEAR(F3),MONTH(F3)+1,1))</f>
        <v>45809</v>
      </c>
      <c r="G4" s="80">
        <f t="shared" ref="G4:G14" si="9">ROUND(IF(F4=0,0,(G3+S3)),3)</f>
        <v>311.82499999999999</v>
      </c>
      <c r="H4" s="57">
        <f t="shared" ref="H4:H14" si="10">ROUND(+G4*$H$1,3)</f>
        <v>21.827999999999999</v>
      </c>
      <c r="I4" s="73">
        <v>9960</v>
      </c>
      <c r="J4" s="74">
        <v>22</v>
      </c>
      <c r="K4" s="57">
        <f t="shared" si="0"/>
        <v>21.17</v>
      </c>
      <c r="L4" s="75">
        <f t="shared" ref="L4:L14" si="11">(K4-H4*92%)*I4</f>
        <v>10838.870400000025</v>
      </c>
      <c r="M4" s="76">
        <f t="shared" si="1"/>
        <v>200014.33</v>
      </c>
      <c r="N4" s="76">
        <f t="shared" si="2"/>
        <v>22001.58</v>
      </c>
      <c r="O4" s="77">
        <f t="shared" si="3"/>
        <v>11162.709599999976</v>
      </c>
      <c r="P4" s="77">
        <f t="shared" si="4"/>
        <v>1674.41</v>
      </c>
      <c r="Q4" s="76">
        <f t="shared" si="5"/>
        <v>5692.98</v>
      </c>
      <c r="R4" s="76">
        <f t="shared" si="6"/>
        <v>3795.32</v>
      </c>
      <c r="S4" s="57">
        <f t="shared" si="7"/>
        <v>0.52600000000000002</v>
      </c>
    </row>
    <row r="5" spans="1:19" x14ac:dyDescent="0.4">
      <c r="A5" s="57"/>
      <c r="B5" s="57"/>
      <c r="C5" s="57"/>
      <c r="D5" s="57"/>
      <c r="E5" s="71"/>
      <c r="F5" s="71">
        <f t="shared" si="8"/>
        <v>45839</v>
      </c>
      <c r="G5" s="80">
        <f t="shared" si="9"/>
        <v>312.351</v>
      </c>
      <c r="H5" s="57">
        <f t="shared" si="10"/>
        <v>21.864999999999998</v>
      </c>
      <c r="I5" s="73">
        <v>10008</v>
      </c>
      <c r="J5" s="74">
        <v>22</v>
      </c>
      <c r="K5" s="57">
        <f t="shared" si="0"/>
        <v>21.21</v>
      </c>
      <c r="L5" s="75">
        <f t="shared" si="11"/>
        <v>10950.753600000007</v>
      </c>
      <c r="M5" s="76">
        <f t="shared" si="1"/>
        <v>201318.93</v>
      </c>
      <c r="N5" s="76">
        <f t="shared" si="2"/>
        <v>22145.08</v>
      </c>
      <c r="O5" s="77">
        <f t="shared" si="3"/>
        <v>11194.326399999994</v>
      </c>
      <c r="P5" s="77">
        <f t="shared" si="4"/>
        <v>1679.15</v>
      </c>
      <c r="Q5" s="76">
        <f t="shared" si="5"/>
        <v>5709.11</v>
      </c>
      <c r="R5" s="76">
        <f t="shared" si="6"/>
        <v>3806.07</v>
      </c>
      <c r="S5" s="57">
        <f t="shared" si="7"/>
        <v>0.52500000000000002</v>
      </c>
    </row>
    <row r="6" spans="1:19" x14ac:dyDescent="0.4">
      <c r="A6" s="57"/>
      <c r="B6" s="57"/>
      <c r="C6" s="57"/>
      <c r="D6" s="57"/>
      <c r="E6" s="57"/>
      <c r="F6" s="71">
        <f t="shared" si="8"/>
        <v>45870</v>
      </c>
      <c r="G6" s="80">
        <f t="shared" si="9"/>
        <v>312.87599999999998</v>
      </c>
      <c r="H6" s="57">
        <f t="shared" si="10"/>
        <v>21.901</v>
      </c>
      <c r="I6" s="73">
        <v>10280</v>
      </c>
      <c r="J6" s="74">
        <v>22</v>
      </c>
      <c r="K6" s="57">
        <f t="shared" si="0"/>
        <v>21.24</v>
      </c>
      <c r="L6" s="75">
        <f t="shared" si="11"/>
        <v>11216.30239999998</v>
      </c>
      <c r="M6" s="76">
        <f t="shared" si="1"/>
        <v>207130.9</v>
      </c>
      <c r="N6" s="76">
        <f t="shared" si="2"/>
        <v>22784.400000000001</v>
      </c>
      <c r="O6" s="77">
        <f t="shared" si="3"/>
        <v>11568.097600000021</v>
      </c>
      <c r="P6" s="77">
        <f t="shared" si="4"/>
        <v>1735.21</v>
      </c>
      <c r="Q6" s="76">
        <f t="shared" si="5"/>
        <v>5899.73</v>
      </c>
      <c r="R6" s="76">
        <f t="shared" si="6"/>
        <v>3933.16</v>
      </c>
      <c r="S6" s="57">
        <f t="shared" si="7"/>
        <v>0.52800000000000002</v>
      </c>
    </row>
    <row r="7" spans="1:19" x14ac:dyDescent="0.4">
      <c r="A7" s="57"/>
      <c r="B7" s="57"/>
      <c r="C7" s="71"/>
      <c r="D7" s="57"/>
      <c r="E7" s="57"/>
      <c r="F7" s="71">
        <f t="shared" si="8"/>
        <v>45901</v>
      </c>
      <c r="G7" s="80">
        <f t="shared" si="9"/>
        <v>313.404</v>
      </c>
      <c r="H7" s="57">
        <f t="shared" si="10"/>
        <v>21.937999999999999</v>
      </c>
      <c r="I7" s="73">
        <v>10929</v>
      </c>
      <c r="J7" s="74">
        <v>22</v>
      </c>
      <c r="K7" s="57">
        <f t="shared" si="0"/>
        <v>21.28</v>
      </c>
      <c r="L7" s="75">
        <f t="shared" si="11"/>
        <v>11989.550159999997</v>
      </c>
      <c r="M7" s="76">
        <f t="shared" si="1"/>
        <v>220579.57</v>
      </c>
      <c r="N7" s="76">
        <f t="shared" si="2"/>
        <v>24263.75</v>
      </c>
      <c r="O7" s="77">
        <f t="shared" si="3"/>
        <v>12274.199840000003</v>
      </c>
      <c r="P7" s="77">
        <f t="shared" si="4"/>
        <v>1841.13</v>
      </c>
      <c r="Q7" s="76">
        <f t="shared" si="5"/>
        <v>6259.84</v>
      </c>
      <c r="R7" s="76">
        <f t="shared" si="6"/>
        <v>4173.2299999999996</v>
      </c>
      <c r="S7" s="57">
        <f t="shared" si="7"/>
        <v>0.52700000000000002</v>
      </c>
    </row>
    <row r="8" spans="1:19" x14ac:dyDescent="0.4">
      <c r="A8" s="57"/>
      <c r="B8" s="57"/>
      <c r="C8" s="57"/>
      <c r="D8" s="57"/>
      <c r="E8" s="57"/>
      <c r="F8" s="71">
        <f t="shared" si="8"/>
        <v>45931</v>
      </c>
      <c r="G8" s="80">
        <f t="shared" si="9"/>
        <v>313.93099999999998</v>
      </c>
      <c r="H8" s="57">
        <f t="shared" si="10"/>
        <v>21.975000000000001</v>
      </c>
      <c r="I8" s="73">
        <v>12115</v>
      </c>
      <c r="J8" s="74">
        <v>22</v>
      </c>
      <c r="K8" s="57">
        <f t="shared" si="0"/>
        <v>21.32</v>
      </c>
      <c r="L8" s="75">
        <f t="shared" si="11"/>
        <v>13362.844999999976</v>
      </c>
      <c r="M8" s="76">
        <f t="shared" si="1"/>
        <v>244928.96</v>
      </c>
      <c r="N8" s="76">
        <f t="shared" si="2"/>
        <v>26942.19</v>
      </c>
      <c r="O8" s="77">
        <f t="shared" si="3"/>
        <v>13579.345000000023</v>
      </c>
      <c r="P8" s="77">
        <f t="shared" si="4"/>
        <v>2036.9</v>
      </c>
      <c r="Q8" s="76">
        <f t="shared" si="5"/>
        <v>6925.47</v>
      </c>
      <c r="R8" s="76">
        <f t="shared" si="6"/>
        <v>4616.9799999999996</v>
      </c>
      <c r="S8" s="57">
        <f t="shared" si="7"/>
        <v>0.52600000000000002</v>
      </c>
    </row>
    <row r="9" spans="1:19" x14ac:dyDescent="0.4">
      <c r="A9" s="57"/>
      <c r="B9" s="57"/>
      <c r="C9" s="57"/>
      <c r="D9" s="57"/>
      <c r="E9" s="57"/>
      <c r="F9" s="71">
        <f t="shared" si="8"/>
        <v>45962</v>
      </c>
      <c r="G9" s="80">
        <f t="shared" si="9"/>
        <v>314.45699999999999</v>
      </c>
      <c r="H9" s="57">
        <f t="shared" si="10"/>
        <v>22.012</v>
      </c>
      <c r="I9" s="73">
        <v>12490</v>
      </c>
      <c r="J9" s="74">
        <v>22</v>
      </c>
      <c r="K9" s="57">
        <f t="shared" si="0"/>
        <v>21.35</v>
      </c>
      <c r="L9" s="75">
        <f t="shared" si="11"/>
        <v>13726.010400000021</v>
      </c>
      <c r="M9" s="76">
        <f t="shared" si="1"/>
        <v>252935.49</v>
      </c>
      <c r="N9" s="76">
        <f t="shared" si="2"/>
        <v>27822.9</v>
      </c>
      <c r="O9" s="77">
        <f t="shared" si="3"/>
        <v>14096.88959999998</v>
      </c>
      <c r="P9" s="77">
        <f t="shared" si="4"/>
        <v>2114.5300000000002</v>
      </c>
      <c r="Q9" s="76">
        <f t="shared" si="5"/>
        <v>7189.42</v>
      </c>
      <c r="R9" s="76">
        <f t="shared" si="6"/>
        <v>4792.9399999999996</v>
      </c>
      <c r="S9" s="57">
        <f t="shared" si="7"/>
        <v>0.53</v>
      </c>
    </row>
    <row r="10" spans="1:19" x14ac:dyDescent="0.4">
      <c r="A10" s="57"/>
      <c r="B10" s="57"/>
      <c r="C10" s="57"/>
      <c r="D10" s="79"/>
      <c r="E10" s="57"/>
      <c r="F10" s="71">
        <f t="shared" si="8"/>
        <v>45992</v>
      </c>
      <c r="G10" s="80">
        <f t="shared" si="9"/>
        <v>314.98700000000002</v>
      </c>
      <c r="H10" s="57">
        <f t="shared" si="10"/>
        <v>22.048999999999999</v>
      </c>
      <c r="I10" s="73">
        <v>13320</v>
      </c>
      <c r="J10" s="74">
        <v>22</v>
      </c>
      <c r="K10" s="57">
        <f t="shared" si="0"/>
        <v>21.39</v>
      </c>
      <c r="L10" s="75">
        <f t="shared" si="11"/>
        <v>14717.534399999999</v>
      </c>
      <c r="M10" s="76">
        <f t="shared" si="1"/>
        <v>270197.27</v>
      </c>
      <c r="N10" s="76">
        <f t="shared" si="2"/>
        <v>29721.7</v>
      </c>
      <c r="O10" s="77">
        <f t="shared" si="3"/>
        <v>15004.165600000002</v>
      </c>
      <c r="P10" s="77">
        <f t="shared" si="4"/>
        <v>2250.62</v>
      </c>
      <c r="Q10" s="76">
        <f t="shared" si="5"/>
        <v>7652.13</v>
      </c>
      <c r="R10" s="76">
        <f t="shared" si="6"/>
        <v>5101.42</v>
      </c>
      <c r="S10" s="57">
        <f t="shared" si="7"/>
        <v>0.52900000000000003</v>
      </c>
    </row>
    <row r="11" spans="1:19" x14ac:dyDescent="0.4">
      <c r="A11" s="57"/>
      <c r="B11" s="57"/>
      <c r="C11" s="57"/>
      <c r="D11" s="79"/>
      <c r="E11" s="57"/>
      <c r="F11" s="71">
        <f t="shared" si="8"/>
        <v>46023</v>
      </c>
      <c r="G11" s="80">
        <f t="shared" si="9"/>
        <v>315.51600000000002</v>
      </c>
      <c r="H11" s="57">
        <f t="shared" si="10"/>
        <v>22.085999999999999</v>
      </c>
      <c r="I11" s="73">
        <v>13790</v>
      </c>
      <c r="J11" s="74">
        <v>22</v>
      </c>
      <c r="K11" s="57">
        <f t="shared" si="0"/>
        <v>21.42</v>
      </c>
      <c r="L11" s="75">
        <f t="shared" si="11"/>
        <v>15181.13520000005</v>
      </c>
      <c r="M11" s="76">
        <f t="shared" si="1"/>
        <v>280200.65999999997</v>
      </c>
      <c r="N11" s="76">
        <f t="shared" si="2"/>
        <v>30822.07</v>
      </c>
      <c r="O11" s="77">
        <f t="shared" si="3"/>
        <v>15640.93479999995</v>
      </c>
      <c r="P11" s="77">
        <f t="shared" si="4"/>
        <v>2346.14</v>
      </c>
      <c r="Q11" s="76">
        <f t="shared" si="5"/>
        <v>7976.88</v>
      </c>
      <c r="R11" s="76">
        <f t="shared" si="6"/>
        <v>5317.92</v>
      </c>
      <c r="S11" s="57">
        <f t="shared" si="7"/>
        <v>0.53200000000000003</v>
      </c>
    </row>
    <row r="12" spans="1:19" x14ac:dyDescent="0.4">
      <c r="A12" s="57"/>
      <c r="B12" s="57"/>
      <c r="C12" s="57"/>
      <c r="D12" s="57"/>
      <c r="E12" s="57"/>
      <c r="F12" s="71">
        <f t="shared" si="8"/>
        <v>46054</v>
      </c>
      <c r="G12" s="80">
        <f t="shared" si="9"/>
        <v>316.048</v>
      </c>
      <c r="H12" s="57">
        <f t="shared" si="10"/>
        <v>22.123000000000001</v>
      </c>
      <c r="I12" s="73">
        <v>15760</v>
      </c>
      <c r="J12" s="74">
        <v>22</v>
      </c>
      <c r="K12" s="57">
        <f t="shared" si="0"/>
        <v>21.46</v>
      </c>
      <c r="L12" s="75">
        <f t="shared" si="11"/>
        <v>17443.798399999974</v>
      </c>
      <c r="M12" s="76">
        <f t="shared" si="1"/>
        <v>320765.8</v>
      </c>
      <c r="N12" s="76">
        <f t="shared" si="2"/>
        <v>35284.239999999998</v>
      </c>
      <c r="O12" s="77">
        <f t="shared" si="3"/>
        <v>17840.441600000024</v>
      </c>
      <c r="P12" s="77">
        <f t="shared" si="4"/>
        <v>2676.07</v>
      </c>
      <c r="Q12" s="76">
        <f t="shared" si="5"/>
        <v>9098.6200000000008</v>
      </c>
      <c r="R12" s="76">
        <f t="shared" si="6"/>
        <v>6065.75</v>
      </c>
      <c r="S12" s="57">
        <f t="shared" si="7"/>
        <v>0.53100000000000003</v>
      </c>
    </row>
    <row r="13" spans="1:19" x14ac:dyDescent="0.4">
      <c r="A13" s="57"/>
      <c r="B13" s="57"/>
      <c r="C13" s="57"/>
      <c r="D13" s="57"/>
      <c r="E13" s="57"/>
      <c r="F13" s="71">
        <f t="shared" si="8"/>
        <v>46082</v>
      </c>
      <c r="G13" s="80">
        <f t="shared" si="9"/>
        <v>316.57900000000001</v>
      </c>
      <c r="H13" s="57">
        <f t="shared" si="10"/>
        <v>22.161000000000001</v>
      </c>
      <c r="I13" s="73">
        <v>17200</v>
      </c>
      <c r="J13" s="74">
        <v>22</v>
      </c>
      <c r="K13" s="57">
        <f t="shared" si="0"/>
        <v>21.5</v>
      </c>
      <c r="L13" s="75">
        <f t="shared" si="11"/>
        <v>19124.335999999988</v>
      </c>
      <c r="M13" s="76">
        <f t="shared" si="1"/>
        <v>350675.66</v>
      </c>
      <c r="N13" s="76">
        <f t="shared" si="2"/>
        <v>38574.32</v>
      </c>
      <c r="O13" s="77">
        <f t="shared" si="3"/>
        <v>19449.984000000011</v>
      </c>
      <c r="P13" s="77">
        <f t="shared" si="4"/>
        <v>2917.5</v>
      </c>
      <c r="Q13" s="76">
        <f t="shared" si="5"/>
        <v>9919.49</v>
      </c>
      <c r="R13" s="76">
        <f t="shared" si="6"/>
        <v>6612.99</v>
      </c>
      <c r="S13" s="57">
        <f t="shared" si="7"/>
        <v>0.53100000000000003</v>
      </c>
    </row>
    <row r="14" spans="1:19" x14ac:dyDescent="0.4">
      <c r="A14" s="57"/>
      <c r="B14" s="57"/>
      <c r="C14" s="57"/>
      <c r="D14" s="57"/>
      <c r="E14" s="57"/>
      <c r="F14" s="71">
        <f t="shared" si="8"/>
        <v>46113</v>
      </c>
      <c r="G14" s="80">
        <f t="shared" si="9"/>
        <v>317.11</v>
      </c>
      <c r="H14" s="57">
        <f t="shared" si="10"/>
        <v>22.198</v>
      </c>
      <c r="I14" s="73">
        <v>15370</v>
      </c>
      <c r="J14" s="74">
        <v>22</v>
      </c>
      <c r="K14" s="57">
        <f t="shared" si="0"/>
        <v>21.53</v>
      </c>
      <c r="L14" s="75">
        <f t="shared" si="11"/>
        <v>17027.500799999991</v>
      </c>
      <c r="M14" s="76">
        <f t="shared" si="1"/>
        <v>313888.59999999998</v>
      </c>
      <c r="N14" s="76">
        <f t="shared" si="2"/>
        <v>34527.75</v>
      </c>
      <c r="O14" s="77">
        <f t="shared" si="3"/>
        <v>17500.249200000009</v>
      </c>
      <c r="P14" s="77">
        <f t="shared" si="4"/>
        <v>2625.04</v>
      </c>
      <c r="Q14" s="76">
        <f t="shared" si="5"/>
        <v>8925.1299999999992</v>
      </c>
      <c r="R14" s="76">
        <f t="shared" si="6"/>
        <v>5950.08</v>
      </c>
      <c r="S14" s="57">
        <f t="shared" si="7"/>
        <v>0.53400000000000003</v>
      </c>
    </row>
    <row r="15" spans="1:19" x14ac:dyDescent="0.4">
      <c r="P15" s="99">
        <f>SUM(P3:P14)</f>
        <v>25506.39</v>
      </c>
      <c r="Q15" s="99">
        <f>SUM(Q3:Q14)</f>
        <v>86721.73</v>
      </c>
      <c r="R15" s="99">
        <f>SUM(R3:R14)</f>
        <v>57814.479999999996</v>
      </c>
    </row>
  </sheetData>
  <autoFilter ref="B2:S15" xr:uid="{00000000-0009-0000-0000-000005000000}"/>
  <conditionalFormatting sqref="A1 A3:A1048576 B15">
    <cfRule type="duplicateValues" dxfId="4" priority="3"/>
  </conditionalFormatting>
  <conditionalFormatting sqref="A1:A1048576 B15">
    <cfRule type="duplicateValues" dxfId="3" priority="2"/>
  </conditionalFormatting>
  <pageMargins left="0.7" right="0.7" top="0.75" bottom="0.75" header="0.511811023622047" footer="0.511811023622047"/>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Pivot Report 2</vt:lpstr>
      <vt:lpstr>sale resgister</vt:lpstr>
      <vt:lpstr>P&amp;L REPORT 1</vt:lpstr>
      <vt:lpstr>P&amp;L REPORT 2</vt:lpstr>
      <vt:lpstr>P&amp;L REPORT 3</vt:lpstr>
      <vt:lpstr>DASHBOARD!Print_Titles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dc:description/>
  <cp:lastModifiedBy>DELL</cp:lastModifiedBy>
  <cp:revision>0</cp:revision>
  <cp:lastPrinted>2026-05-16T10:37:24Z</cp:lastPrinted>
  <dcterms:created xsi:type="dcterms:W3CDTF">2026-05-14T13:14:59Z</dcterms:created>
  <dcterms:modified xsi:type="dcterms:W3CDTF">2026-05-30T07:54:53Z</dcterms:modified>
  <dc:language>en-US</dc:language>
</cp:coreProperties>
</file>